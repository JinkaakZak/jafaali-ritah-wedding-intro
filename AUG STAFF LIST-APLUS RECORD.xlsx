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0490" windowHeight="7755"/>
  </bookViews>
  <sheets>
    <sheet name="july" sheetId="1" r:id="rId1"/>
    <sheet name="STRUCTURE " sheetId="14" r:id="rId2"/>
    <sheet name="EST.PARI" sheetId="13" r:id="rId3"/>
    <sheet name="traded off posts" sheetId="15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july!$B$2:$D$340</definedName>
    <definedName name="_xlnm._FilterDatabase" localSheetId="1" hidden="1">'STRUCTURE '!$A$2:$H$2</definedName>
  </definedNames>
  <calcPr calcId="152511"/>
</workbook>
</file>

<file path=xl/calcChain.xml><?xml version="1.0" encoding="utf-8"?>
<calcChain xmlns="http://schemas.openxmlformats.org/spreadsheetml/2006/main">
  <c r="B721" i="1" l="1"/>
  <c r="B722" i="1"/>
  <c r="D102" i="1"/>
  <c r="M523" i="1"/>
  <c r="L523" i="1"/>
  <c r="K523" i="1"/>
  <c r="M533" i="1"/>
  <c r="L533" i="1"/>
  <c r="K533" i="1"/>
  <c r="N534" i="1"/>
  <c r="M534" i="1"/>
  <c r="L534" i="1"/>
  <c r="K534" i="1"/>
  <c r="N530" i="1"/>
  <c r="M530" i="1"/>
  <c r="L530" i="1"/>
  <c r="L522" i="1"/>
  <c r="N532" i="1"/>
  <c r="N533" i="1" s="1"/>
  <c r="M532" i="1"/>
  <c r="L532" i="1"/>
  <c r="N520" i="1"/>
  <c r="N522" i="1" s="1"/>
  <c r="N523" i="1" s="1"/>
  <c r="M520" i="1"/>
  <c r="M522" i="1" s="1"/>
  <c r="L520" i="1"/>
  <c r="K520" i="1"/>
  <c r="N510" i="1"/>
  <c r="N515" i="1"/>
  <c r="M515" i="1"/>
  <c r="M514" i="1"/>
  <c r="N517" i="1"/>
  <c r="M517" i="1"/>
  <c r="M516" i="1"/>
  <c r="L517" i="1"/>
  <c r="L516" i="1"/>
  <c r="K517" i="1"/>
  <c r="N535" i="1"/>
  <c r="M535" i="1"/>
  <c r="K525" i="1"/>
  <c r="K526" i="1"/>
  <c r="K527" i="1"/>
  <c r="K529" i="1"/>
  <c r="L525" i="1"/>
  <c r="L526" i="1"/>
  <c r="L527" i="1"/>
  <c r="L529" i="1"/>
  <c r="M525" i="1"/>
  <c r="M526" i="1"/>
  <c r="M527" i="1"/>
  <c r="M529" i="1"/>
  <c r="N525" i="1"/>
  <c r="N526" i="1"/>
  <c r="N527" i="1"/>
  <c r="N529" i="1"/>
  <c r="M419" i="1"/>
  <c r="M298" i="1"/>
  <c r="B19" i="13"/>
  <c r="B37" i="13"/>
  <c r="B16" i="13"/>
  <c r="B7" i="13"/>
  <c r="B4" i="13"/>
  <c r="F7" i="13"/>
  <c r="B10" i="13"/>
  <c r="A12" i="1"/>
  <c r="E107" i="1" l="1"/>
  <c r="M411" i="1" l="1"/>
  <c r="G411" i="1"/>
  <c r="H411" i="1"/>
  <c r="I411" i="1"/>
  <c r="J411" i="1"/>
  <c r="K411" i="1"/>
  <c r="L411" i="1"/>
  <c r="D411" i="1"/>
  <c r="E411" i="1"/>
  <c r="F411" i="1"/>
  <c r="C245" i="15" l="1"/>
  <c r="E245" i="15" s="1"/>
  <c r="G243" i="15"/>
  <c r="E243" i="15"/>
  <c r="G242" i="15"/>
  <c r="E242" i="15"/>
  <c r="G241" i="15"/>
  <c r="E241" i="15"/>
  <c r="G240" i="15"/>
  <c r="E240" i="15"/>
  <c r="G239" i="15"/>
  <c r="E239" i="15"/>
  <c r="G238" i="15"/>
  <c r="E238" i="15"/>
  <c r="G237" i="15"/>
  <c r="G236" i="15"/>
  <c r="E236" i="15"/>
  <c r="G235" i="15"/>
  <c r="E235" i="15"/>
  <c r="G234" i="15"/>
  <c r="E234" i="15"/>
  <c r="C232" i="15"/>
  <c r="G230" i="15"/>
  <c r="E230" i="15"/>
  <c r="G229" i="15"/>
  <c r="E229" i="15"/>
  <c r="G228" i="15"/>
  <c r="E228" i="15"/>
  <c r="G227" i="15"/>
  <c r="E227" i="15"/>
  <c r="G226" i="15"/>
  <c r="E226" i="15"/>
  <c r="G225" i="15"/>
  <c r="E225" i="15"/>
  <c r="G224" i="15"/>
  <c r="G223" i="15"/>
  <c r="E223" i="15"/>
  <c r="G222" i="15"/>
  <c r="E222" i="15"/>
  <c r="E221" i="15"/>
  <c r="C220" i="15"/>
  <c r="G218" i="15"/>
  <c r="E218" i="15"/>
  <c r="G217" i="15"/>
  <c r="E217" i="15"/>
  <c r="G216" i="15"/>
  <c r="E216" i="15"/>
  <c r="G215" i="15"/>
  <c r="E215" i="15"/>
  <c r="G214" i="15"/>
  <c r="E214" i="15"/>
  <c r="G213" i="15"/>
  <c r="E213" i="15"/>
  <c r="G212" i="15"/>
  <c r="G211" i="15"/>
  <c r="E211" i="15"/>
  <c r="G210" i="15"/>
  <c r="E210" i="15"/>
  <c r="G209" i="15"/>
  <c r="E209" i="15"/>
  <c r="C207" i="15"/>
  <c r="G206" i="15"/>
  <c r="E206" i="15"/>
  <c r="G205" i="15"/>
  <c r="E205" i="15"/>
  <c r="G204" i="15"/>
  <c r="E204" i="15"/>
  <c r="G203" i="15"/>
  <c r="G202" i="15"/>
  <c r="E202" i="15"/>
  <c r="G201" i="15"/>
  <c r="E201" i="15"/>
  <c r="G197" i="15"/>
  <c r="E197" i="15"/>
  <c r="G196" i="15"/>
  <c r="E196" i="15"/>
  <c r="G195" i="15"/>
  <c r="G194" i="15"/>
  <c r="E194" i="15"/>
  <c r="G193" i="15"/>
  <c r="E193" i="15"/>
  <c r="G192" i="15"/>
  <c r="E192" i="15"/>
  <c r="G191" i="15"/>
  <c r="E191" i="15"/>
  <c r="C188" i="15"/>
  <c r="E187" i="15"/>
  <c r="E219" i="15" s="1"/>
  <c r="E231" i="15" s="1"/>
  <c r="E244" i="15" s="1"/>
  <c r="G186" i="15"/>
  <c r="E186" i="15"/>
  <c r="G185" i="15"/>
  <c r="E185" i="15"/>
  <c r="G184" i="15"/>
  <c r="E184" i="15"/>
  <c r="G183" i="15"/>
  <c r="E183" i="15"/>
  <c r="G182" i="15"/>
  <c r="E182" i="15"/>
  <c r="G181" i="15"/>
  <c r="E181" i="15"/>
  <c r="G180" i="15"/>
  <c r="E180" i="15"/>
  <c r="E179" i="15"/>
  <c r="C177" i="15"/>
  <c r="E176" i="15"/>
  <c r="G175" i="15"/>
  <c r="E175" i="15"/>
  <c r="G174" i="15"/>
  <c r="E174" i="15"/>
  <c r="G173" i="15"/>
  <c r="E173" i="15"/>
  <c r="G172" i="15"/>
  <c r="E172" i="15"/>
  <c r="G171" i="15"/>
  <c r="E171" i="15"/>
  <c r="G170" i="15"/>
  <c r="E170" i="15"/>
  <c r="G169" i="15"/>
  <c r="E169" i="15"/>
  <c r="E168" i="15"/>
  <c r="E167" i="15"/>
  <c r="C166" i="15"/>
  <c r="G165" i="15"/>
  <c r="E165" i="15"/>
  <c r="G164" i="15"/>
  <c r="E164" i="15"/>
  <c r="G163" i="15"/>
  <c r="G162" i="15"/>
  <c r="E162" i="15"/>
  <c r="G161" i="15"/>
  <c r="E161" i="15"/>
  <c r="G160" i="15"/>
  <c r="E160" i="15"/>
  <c r="E159" i="15"/>
  <c r="E158" i="15"/>
  <c r="C157" i="15"/>
  <c r="G155" i="15"/>
  <c r="E155" i="15"/>
  <c r="G154" i="15"/>
  <c r="E154" i="15"/>
  <c r="G153" i="15"/>
  <c r="E153" i="15"/>
  <c r="G152" i="15"/>
  <c r="E152" i="15"/>
  <c r="G151" i="15"/>
  <c r="G150" i="15"/>
  <c r="E150" i="15"/>
  <c r="G149" i="15"/>
  <c r="E149" i="15"/>
  <c r="G148" i="15"/>
  <c r="E148" i="15"/>
  <c r="E147" i="15"/>
  <c r="E146" i="15"/>
  <c r="C145" i="15"/>
  <c r="G143" i="15"/>
  <c r="E143" i="15"/>
  <c r="G142" i="15"/>
  <c r="E142" i="15"/>
  <c r="G141" i="15"/>
  <c r="E141" i="15"/>
  <c r="G140" i="15"/>
  <c r="E140" i="15"/>
  <c r="G139" i="15"/>
  <c r="E139" i="15"/>
  <c r="G138" i="15"/>
  <c r="E138" i="15"/>
  <c r="G137" i="15"/>
  <c r="E137" i="15"/>
  <c r="G136" i="15"/>
  <c r="E136" i="15"/>
  <c r="C133" i="15"/>
  <c r="G131" i="15"/>
  <c r="E131" i="15"/>
  <c r="G130" i="15"/>
  <c r="E130" i="15"/>
  <c r="G129" i="15"/>
  <c r="E129" i="15"/>
  <c r="G128" i="15"/>
  <c r="E128" i="15"/>
  <c r="G127" i="15"/>
  <c r="E127" i="15"/>
  <c r="G126" i="15"/>
  <c r="E126" i="15"/>
  <c r="G125" i="15"/>
  <c r="E125" i="15"/>
  <c r="G124" i="15"/>
  <c r="E124" i="15"/>
  <c r="G123" i="15"/>
  <c r="E123" i="15"/>
  <c r="G122" i="15"/>
  <c r="E122" i="15"/>
  <c r="G121" i="15"/>
  <c r="E121" i="15"/>
  <c r="G120" i="15"/>
  <c r="E120" i="15"/>
  <c r="C117" i="15"/>
  <c r="G115" i="15"/>
  <c r="E115" i="15"/>
  <c r="G114" i="15"/>
  <c r="E114" i="15"/>
  <c r="G113" i="15"/>
  <c r="E113" i="15"/>
  <c r="G112" i="15"/>
  <c r="E112" i="15"/>
  <c r="G111" i="15"/>
  <c r="E111" i="15"/>
  <c r="G110" i="15"/>
  <c r="E110" i="15"/>
  <c r="G109" i="15"/>
  <c r="E109" i="15"/>
  <c r="C106" i="15"/>
  <c r="B105" i="15"/>
  <c r="B116" i="15" s="1"/>
  <c r="B132" i="15" s="1"/>
  <c r="B144" i="15" s="1"/>
  <c r="B156" i="15" s="1"/>
  <c r="G104" i="15"/>
  <c r="E104" i="15"/>
  <c r="G103" i="15"/>
  <c r="E103" i="15"/>
  <c r="G102" i="15"/>
  <c r="E102" i="15"/>
  <c r="G101" i="15"/>
  <c r="E101" i="15"/>
  <c r="G100" i="15"/>
  <c r="G99" i="15"/>
  <c r="E99" i="15"/>
  <c r="G98" i="15"/>
  <c r="E98" i="15"/>
  <c r="G97" i="15"/>
  <c r="E97" i="15"/>
  <c r="C94" i="15"/>
  <c r="F93" i="15"/>
  <c r="F105" i="15" s="1"/>
  <c r="F116" i="15" s="1"/>
  <c r="F132" i="15" s="1"/>
  <c r="F144" i="15" s="1"/>
  <c r="F156" i="15" s="1"/>
  <c r="A93" i="15"/>
  <c r="A105" i="15" s="1"/>
  <c r="A116" i="15" s="1"/>
  <c r="A132" i="15" s="1"/>
  <c r="A144" i="15" s="1"/>
  <c r="A156" i="15" s="1"/>
  <c r="G92" i="15"/>
  <c r="E92" i="15"/>
  <c r="G91" i="15"/>
  <c r="E91" i="15"/>
  <c r="G90" i="15"/>
  <c r="E90" i="15"/>
  <c r="G89" i="15"/>
  <c r="E89" i="15"/>
  <c r="G88" i="15"/>
  <c r="E88" i="15"/>
  <c r="G87" i="15"/>
  <c r="E87" i="15"/>
  <c r="C84" i="15"/>
  <c r="G83" i="15"/>
  <c r="G93" i="15" s="1"/>
  <c r="G105" i="15" s="1"/>
  <c r="G116" i="15" s="1"/>
  <c r="G132" i="15" s="1"/>
  <c r="G144" i="15" s="1"/>
  <c r="G156" i="15" s="1"/>
  <c r="G82" i="15"/>
  <c r="E82" i="15"/>
  <c r="G81" i="15"/>
  <c r="E81" i="15"/>
  <c r="G80" i="15"/>
  <c r="E80" i="15"/>
  <c r="G79" i="15"/>
  <c r="E79" i="15"/>
  <c r="G78" i="15"/>
  <c r="E78" i="15"/>
  <c r="G77" i="15"/>
  <c r="E77" i="15"/>
  <c r="G76" i="15"/>
  <c r="E76" i="15"/>
  <c r="G75" i="15"/>
  <c r="E75" i="15"/>
  <c r="C72" i="15"/>
  <c r="G70" i="15"/>
  <c r="E70" i="15"/>
  <c r="G69" i="15"/>
  <c r="E69" i="15"/>
  <c r="G68" i="15"/>
  <c r="E68" i="15"/>
  <c r="G67" i="15"/>
  <c r="E67" i="15"/>
  <c r="G66" i="15"/>
  <c r="E66" i="15"/>
  <c r="G65" i="15"/>
  <c r="E65" i="15"/>
  <c r="G64" i="15"/>
  <c r="E64" i="15"/>
  <c r="C61" i="15"/>
  <c r="E61" i="15" s="1"/>
  <c r="G60" i="15"/>
  <c r="B60" i="15"/>
  <c r="G59" i="15"/>
  <c r="E59" i="15"/>
  <c r="G58" i="15"/>
  <c r="E58" i="15"/>
  <c r="G57" i="15"/>
  <c r="E57" i="15"/>
  <c r="G56" i="15"/>
  <c r="G55" i="15"/>
  <c r="E55" i="15"/>
  <c r="G54" i="15"/>
  <c r="E54" i="15"/>
  <c r="G53" i="15"/>
  <c r="E53" i="15"/>
  <c r="E49" i="15"/>
  <c r="C49" i="15"/>
  <c r="G48" i="15"/>
  <c r="G47" i="15"/>
  <c r="G46" i="15"/>
  <c r="G45" i="15"/>
  <c r="G44" i="15"/>
  <c r="G43" i="15"/>
  <c r="G42" i="15"/>
  <c r="G41" i="15"/>
  <c r="C38" i="15"/>
  <c r="G36" i="15"/>
  <c r="E36" i="15"/>
  <c r="G35" i="15"/>
  <c r="E35" i="15"/>
  <c r="G34" i="15"/>
  <c r="E34" i="15"/>
  <c r="G33" i="15"/>
  <c r="E33" i="15"/>
  <c r="G32" i="15"/>
  <c r="E32" i="15"/>
  <c r="G31" i="15"/>
  <c r="E31" i="15"/>
  <c r="G30" i="15"/>
  <c r="E30" i="15"/>
  <c r="G29" i="15"/>
  <c r="E29" i="15"/>
  <c r="C26" i="15"/>
  <c r="E26" i="15" s="1"/>
  <c r="F25" i="15"/>
  <c r="F37" i="15" s="1"/>
  <c r="F71" i="15" s="1"/>
  <c r="E25" i="15"/>
  <c r="E37" i="15" s="1"/>
  <c r="E71" i="15" s="1"/>
  <c r="E60" i="15" s="1"/>
  <c r="D25" i="15"/>
  <c r="D37" i="15" s="1"/>
  <c r="D71" i="15" s="1"/>
  <c r="C25" i="15"/>
  <c r="C37" i="15" s="1"/>
  <c r="C71" i="15" s="1"/>
  <c r="B25" i="15"/>
  <c r="B37" i="15" s="1"/>
  <c r="A25" i="15"/>
  <c r="A37" i="15" s="1"/>
  <c r="G24" i="15"/>
  <c r="E24" i="15"/>
  <c r="G23" i="15"/>
  <c r="E23" i="15"/>
  <c r="G22" i="15"/>
  <c r="E22" i="15"/>
  <c r="G21" i="15"/>
  <c r="E21" i="15"/>
  <c r="G20" i="15"/>
  <c r="G19" i="15"/>
  <c r="E19" i="15"/>
  <c r="G18" i="15"/>
  <c r="E18" i="15"/>
  <c r="G17" i="15"/>
  <c r="E17" i="15"/>
  <c r="C14" i="15"/>
  <c r="G13" i="15"/>
  <c r="G25" i="15" s="1"/>
  <c r="G37" i="15" s="1"/>
  <c r="G71" i="15" s="1"/>
  <c r="G12" i="15"/>
  <c r="E12" i="15"/>
  <c r="G11" i="15"/>
  <c r="E11" i="15"/>
  <c r="G10" i="15"/>
  <c r="E10" i="15"/>
  <c r="G9" i="15"/>
  <c r="G8" i="15"/>
  <c r="E8" i="15"/>
  <c r="G7" i="15"/>
  <c r="E7" i="15"/>
  <c r="G6" i="15"/>
  <c r="E6" i="15"/>
  <c r="C53" i="13"/>
  <c r="E52" i="13"/>
  <c r="F49" i="13"/>
  <c r="F46" i="13"/>
  <c r="F43" i="13"/>
  <c r="F40" i="13"/>
  <c r="F37" i="13"/>
  <c r="F34" i="13"/>
  <c r="F31" i="13"/>
  <c r="F28" i="13"/>
  <c r="F25" i="13"/>
  <c r="B25" i="13"/>
  <c r="F22" i="13"/>
  <c r="B22" i="13"/>
  <c r="F19" i="13"/>
  <c r="F16" i="13"/>
  <c r="F13" i="13"/>
  <c r="B13" i="13"/>
  <c r="B52" i="13" s="1"/>
  <c r="F10" i="13"/>
  <c r="F4" i="13"/>
  <c r="H139" i="14"/>
  <c r="G139" i="14"/>
  <c r="F139" i="14"/>
  <c r="B139" i="14"/>
  <c r="A139" i="14"/>
  <c r="H138" i="14"/>
  <c r="G138" i="14"/>
  <c r="F138" i="14"/>
  <c r="D138" i="14"/>
  <c r="C138" i="14"/>
  <c r="E138" i="14" s="1"/>
  <c r="B138" i="14"/>
  <c r="A138" i="14"/>
  <c r="H137" i="14"/>
  <c r="G137" i="14"/>
  <c r="F137" i="14"/>
  <c r="D137" i="14"/>
  <c r="C137" i="14"/>
  <c r="B137" i="14"/>
  <c r="A137" i="14"/>
  <c r="H136" i="14"/>
  <c r="G136" i="14"/>
  <c r="F136" i="14"/>
  <c r="D136" i="14"/>
  <c r="C136" i="14"/>
  <c r="B136" i="14"/>
  <c r="A136" i="14"/>
  <c r="H135" i="14"/>
  <c r="G135" i="14"/>
  <c r="F135" i="14"/>
  <c r="D135" i="14"/>
  <c r="C135" i="14"/>
  <c r="B135" i="14"/>
  <c r="A135" i="14"/>
  <c r="H134" i="14"/>
  <c r="G134" i="14"/>
  <c r="F134" i="14"/>
  <c r="D134" i="14"/>
  <c r="C134" i="14"/>
  <c r="B134" i="14"/>
  <c r="A134" i="14"/>
  <c r="H133" i="14"/>
  <c r="G133" i="14"/>
  <c r="F133" i="14"/>
  <c r="D133" i="14"/>
  <c r="C133" i="14"/>
  <c r="B133" i="14"/>
  <c r="A133" i="14"/>
  <c r="H132" i="14"/>
  <c r="G132" i="14"/>
  <c r="F132" i="14"/>
  <c r="D132" i="14"/>
  <c r="C132" i="14"/>
  <c r="B132" i="14"/>
  <c r="A132" i="14"/>
  <c r="H131" i="14"/>
  <c r="G131" i="14"/>
  <c r="F131" i="14"/>
  <c r="D131" i="14"/>
  <c r="C131" i="14"/>
  <c r="B131" i="14"/>
  <c r="A131" i="14"/>
  <c r="H130" i="14"/>
  <c r="G130" i="14"/>
  <c r="F130" i="14"/>
  <c r="D130" i="14"/>
  <c r="C130" i="14"/>
  <c r="B130" i="14"/>
  <c r="A130" i="14"/>
  <c r="H129" i="14"/>
  <c r="G129" i="14"/>
  <c r="F129" i="14"/>
  <c r="D129" i="14"/>
  <c r="C129" i="14"/>
  <c r="B129" i="14"/>
  <c r="A129" i="14"/>
  <c r="H128" i="14"/>
  <c r="G128" i="14"/>
  <c r="F128" i="14"/>
  <c r="D128" i="14"/>
  <c r="C128" i="14"/>
  <c r="B128" i="14"/>
  <c r="A128" i="14"/>
  <c r="H127" i="14"/>
  <c r="G127" i="14"/>
  <c r="F127" i="14"/>
  <c r="D127" i="14"/>
  <c r="C127" i="14"/>
  <c r="B127" i="14"/>
  <c r="A127" i="14"/>
  <c r="H126" i="14"/>
  <c r="G126" i="14"/>
  <c r="F126" i="14"/>
  <c r="D126" i="14"/>
  <c r="C126" i="14"/>
  <c r="B126" i="14"/>
  <c r="A126" i="14"/>
  <c r="H125" i="14"/>
  <c r="G125" i="14"/>
  <c r="F125" i="14"/>
  <c r="D125" i="14"/>
  <c r="C125" i="14"/>
  <c r="B125" i="14"/>
  <c r="A125" i="14"/>
  <c r="H124" i="14"/>
  <c r="G124" i="14"/>
  <c r="F124" i="14"/>
  <c r="D124" i="14"/>
  <c r="C124" i="14"/>
  <c r="B124" i="14"/>
  <c r="C956" i="1" s="1"/>
  <c r="A124" i="14"/>
  <c r="H123" i="14"/>
  <c r="G123" i="14"/>
  <c r="F123" i="14"/>
  <c r="D123" i="14"/>
  <c r="C123" i="14"/>
  <c r="B123" i="14"/>
  <c r="A123" i="14"/>
  <c r="H122" i="14"/>
  <c r="G122" i="14"/>
  <c r="F122" i="14"/>
  <c r="E122" i="14"/>
  <c r="B122" i="14"/>
  <c r="A122" i="14"/>
  <c r="H121" i="14"/>
  <c r="G121" i="14"/>
  <c r="F121" i="14"/>
  <c r="D121" i="14"/>
  <c r="C121" i="14"/>
  <c r="B121" i="14"/>
  <c r="A121" i="14"/>
  <c r="H120" i="14"/>
  <c r="G120" i="14"/>
  <c r="F120" i="14"/>
  <c r="D120" i="14"/>
  <c r="C120" i="14"/>
  <c r="B120" i="14"/>
  <c r="A120" i="14"/>
  <c r="H119" i="14"/>
  <c r="G119" i="14"/>
  <c r="F119" i="14"/>
  <c r="E119" i="14"/>
  <c r="B119" i="14"/>
  <c r="A119" i="14"/>
  <c r="H118" i="14"/>
  <c r="G118" i="14"/>
  <c r="F118" i="14"/>
  <c r="C118" i="14"/>
  <c r="E118" i="14" s="1"/>
  <c r="B118" i="14"/>
  <c r="A118" i="14"/>
  <c r="H117" i="14"/>
  <c r="G117" i="14"/>
  <c r="F117" i="14"/>
  <c r="C117" i="14"/>
  <c r="E117" i="14" s="1"/>
  <c r="B117" i="14"/>
  <c r="A117" i="14"/>
  <c r="H116" i="14"/>
  <c r="G116" i="14"/>
  <c r="F116" i="14"/>
  <c r="D116" i="14"/>
  <c r="C116" i="14"/>
  <c r="B116" i="14"/>
  <c r="A116" i="14"/>
  <c r="H115" i="14"/>
  <c r="G115" i="14"/>
  <c r="F115" i="14"/>
  <c r="D115" i="14"/>
  <c r="C115" i="14"/>
  <c r="B115" i="14"/>
  <c r="A115" i="14"/>
  <c r="H114" i="14"/>
  <c r="G114" i="14"/>
  <c r="F114" i="14"/>
  <c r="D114" i="14"/>
  <c r="C114" i="14"/>
  <c r="B114" i="14"/>
  <c r="A114" i="14"/>
  <c r="H113" i="14"/>
  <c r="G113" i="14"/>
  <c r="F113" i="14"/>
  <c r="D113" i="14"/>
  <c r="C113" i="14"/>
  <c r="B113" i="14"/>
  <c r="A113" i="14"/>
  <c r="H112" i="14"/>
  <c r="G112" i="14"/>
  <c r="F112" i="14"/>
  <c r="D112" i="14"/>
  <c r="C112" i="14"/>
  <c r="B112" i="14"/>
  <c r="A112" i="14"/>
  <c r="H111" i="14"/>
  <c r="G111" i="14"/>
  <c r="F111" i="14"/>
  <c r="C111" i="14"/>
  <c r="E111" i="14" s="1"/>
  <c r="B111" i="14"/>
  <c r="A111" i="14"/>
  <c r="H110" i="14"/>
  <c r="G110" i="14"/>
  <c r="F110" i="14"/>
  <c r="D110" i="14"/>
  <c r="C110" i="14"/>
  <c r="B110" i="14"/>
  <c r="C957" i="1" s="1"/>
  <c r="A110" i="14"/>
  <c r="H109" i="14"/>
  <c r="G109" i="14"/>
  <c r="F109" i="14"/>
  <c r="D109" i="14"/>
  <c r="C109" i="14"/>
  <c r="B109" i="14"/>
  <c r="A109" i="14"/>
  <c r="H108" i="14"/>
  <c r="G108" i="14"/>
  <c r="F108" i="14"/>
  <c r="C108" i="14"/>
  <c r="E108" i="14" s="1"/>
  <c r="B108" i="14"/>
  <c r="A108" i="14"/>
  <c r="H107" i="14"/>
  <c r="G107" i="14"/>
  <c r="F107" i="14"/>
  <c r="D107" i="14"/>
  <c r="C107" i="14"/>
  <c r="B107" i="14"/>
  <c r="A107" i="14"/>
  <c r="H106" i="14"/>
  <c r="G106" i="14"/>
  <c r="F106" i="14"/>
  <c r="E106" i="14"/>
  <c r="B106" i="14"/>
  <c r="H105" i="14"/>
  <c r="G105" i="14"/>
  <c r="F105" i="14"/>
  <c r="D105" i="14"/>
  <c r="C105" i="14"/>
  <c r="B105" i="14"/>
  <c r="A105" i="14"/>
  <c r="H104" i="14"/>
  <c r="G104" i="14"/>
  <c r="F104" i="14"/>
  <c r="D104" i="14"/>
  <c r="C104" i="14"/>
  <c r="B104" i="14"/>
  <c r="A104" i="14"/>
  <c r="H103" i="14"/>
  <c r="G103" i="14"/>
  <c r="F103" i="14"/>
  <c r="D103" i="14"/>
  <c r="C103" i="14"/>
  <c r="B103" i="14"/>
  <c r="A103" i="14"/>
  <c r="H102" i="14"/>
  <c r="G102" i="14"/>
  <c r="F102" i="14"/>
  <c r="D102" i="14"/>
  <c r="C102" i="14"/>
  <c r="B102" i="14"/>
  <c r="A102" i="14"/>
  <c r="H101" i="14"/>
  <c r="G101" i="14"/>
  <c r="F101" i="14"/>
  <c r="D101" i="14"/>
  <c r="C101" i="14"/>
  <c r="B101" i="14"/>
  <c r="A101" i="14"/>
  <c r="H100" i="14"/>
  <c r="G100" i="14"/>
  <c r="F100" i="14"/>
  <c r="D100" i="14"/>
  <c r="C100" i="14"/>
  <c r="B100" i="14"/>
  <c r="A100" i="14"/>
  <c r="H99" i="14"/>
  <c r="G99" i="14"/>
  <c r="F99" i="14"/>
  <c r="D99" i="14"/>
  <c r="C99" i="14"/>
  <c r="B99" i="14"/>
  <c r="A99" i="14"/>
  <c r="H98" i="14"/>
  <c r="G98" i="14"/>
  <c r="F98" i="14"/>
  <c r="D98" i="14"/>
  <c r="C98" i="14"/>
  <c r="B98" i="14"/>
  <c r="A98" i="14"/>
  <c r="H97" i="14"/>
  <c r="G97" i="14"/>
  <c r="F97" i="14"/>
  <c r="D97" i="14"/>
  <c r="C97" i="14"/>
  <c r="B97" i="14"/>
  <c r="A97" i="14"/>
  <c r="H96" i="14"/>
  <c r="G96" i="14"/>
  <c r="F96" i="14"/>
  <c r="D96" i="14"/>
  <c r="C96" i="14"/>
  <c r="B96" i="14"/>
  <c r="A96" i="14"/>
  <c r="H95" i="14"/>
  <c r="G95" i="14"/>
  <c r="F95" i="14"/>
  <c r="D95" i="14"/>
  <c r="C95" i="14"/>
  <c r="B95" i="14"/>
  <c r="A95" i="14"/>
  <c r="H94" i="14"/>
  <c r="G94" i="14"/>
  <c r="F94" i="14"/>
  <c r="D94" i="14"/>
  <c r="C94" i="14"/>
  <c r="B94" i="14"/>
  <c r="A94" i="14"/>
  <c r="H93" i="14"/>
  <c r="G93" i="14"/>
  <c r="F93" i="14"/>
  <c r="E93" i="14"/>
  <c r="B93" i="14"/>
  <c r="C952" i="1" s="1"/>
  <c r="A93" i="14"/>
  <c r="H92" i="14"/>
  <c r="G92" i="14"/>
  <c r="F92" i="14"/>
  <c r="D92" i="14"/>
  <c r="C92" i="14"/>
  <c r="B92" i="14"/>
  <c r="A92" i="14"/>
  <c r="H91" i="14"/>
  <c r="G91" i="14"/>
  <c r="F91" i="14"/>
  <c r="D91" i="14"/>
  <c r="C91" i="14"/>
  <c r="B91" i="14"/>
  <c r="A91" i="14"/>
  <c r="H90" i="14"/>
  <c r="G90" i="14"/>
  <c r="F90" i="14"/>
  <c r="D90" i="14"/>
  <c r="C90" i="14"/>
  <c r="B90" i="14"/>
  <c r="A90" i="14"/>
  <c r="H89" i="14"/>
  <c r="G89" i="14"/>
  <c r="F89" i="14"/>
  <c r="D89" i="14"/>
  <c r="C89" i="14"/>
  <c r="B89" i="14"/>
  <c r="C950" i="1" s="1"/>
  <c r="A89" i="14"/>
  <c r="H88" i="14"/>
  <c r="G88" i="14"/>
  <c r="F88" i="14"/>
  <c r="D88" i="14"/>
  <c r="C88" i="14"/>
  <c r="B88" i="14"/>
  <c r="A88" i="14"/>
  <c r="H87" i="14"/>
  <c r="G87" i="14"/>
  <c r="F87" i="14"/>
  <c r="D87" i="14"/>
  <c r="C87" i="14"/>
  <c r="B87" i="14"/>
  <c r="A87" i="14"/>
  <c r="H86" i="14"/>
  <c r="G86" i="14"/>
  <c r="F86" i="14"/>
  <c r="D86" i="14"/>
  <c r="C86" i="14"/>
  <c r="B86" i="14"/>
  <c r="A86" i="14"/>
  <c r="H85" i="14"/>
  <c r="G85" i="14"/>
  <c r="F85" i="14"/>
  <c r="D85" i="14"/>
  <c r="C85" i="14"/>
  <c r="B85" i="14"/>
  <c r="A85" i="14"/>
  <c r="H84" i="14"/>
  <c r="G84" i="14"/>
  <c r="F84" i="14"/>
  <c r="D84" i="14"/>
  <c r="C84" i="14"/>
  <c r="B84" i="14"/>
  <c r="A84" i="14"/>
  <c r="H83" i="14"/>
  <c r="G83" i="14"/>
  <c r="F83" i="14"/>
  <c r="D83" i="14"/>
  <c r="C83" i="14"/>
  <c r="B83" i="14"/>
  <c r="A83" i="14"/>
  <c r="H82" i="14"/>
  <c r="G82" i="14"/>
  <c r="F82" i="14"/>
  <c r="D82" i="14"/>
  <c r="C82" i="14"/>
  <c r="B82" i="14"/>
  <c r="A82" i="14"/>
  <c r="H81" i="14"/>
  <c r="G81" i="14"/>
  <c r="F81" i="14"/>
  <c r="D81" i="14"/>
  <c r="C81" i="14"/>
  <c r="B81" i="14"/>
  <c r="A81" i="14"/>
  <c r="H80" i="14"/>
  <c r="G80" i="14"/>
  <c r="F80" i="14"/>
  <c r="D80" i="14"/>
  <c r="C80" i="14"/>
  <c r="B80" i="14"/>
  <c r="A80" i="14"/>
  <c r="H79" i="14"/>
  <c r="G79" i="14"/>
  <c r="F79" i="14"/>
  <c r="D79" i="14"/>
  <c r="C79" i="14"/>
  <c r="B79" i="14"/>
  <c r="A79" i="14"/>
  <c r="H78" i="14"/>
  <c r="G78" i="14"/>
  <c r="F78" i="14"/>
  <c r="D78" i="14"/>
  <c r="C78" i="14"/>
  <c r="B78" i="14"/>
  <c r="A78" i="14"/>
  <c r="H77" i="14"/>
  <c r="G77" i="14"/>
  <c r="F77" i="14"/>
  <c r="D77" i="14"/>
  <c r="C77" i="14"/>
  <c r="B77" i="14"/>
  <c r="A77" i="14"/>
  <c r="H76" i="14"/>
  <c r="G76" i="14"/>
  <c r="F76" i="14"/>
  <c r="D76" i="14"/>
  <c r="C76" i="14"/>
  <c r="B76" i="14"/>
  <c r="A76" i="14"/>
  <c r="H75" i="14"/>
  <c r="G75" i="14"/>
  <c r="F75" i="14"/>
  <c r="D75" i="14"/>
  <c r="C75" i="14"/>
  <c r="B75" i="14"/>
  <c r="A75" i="14"/>
  <c r="H74" i="14"/>
  <c r="G74" i="14"/>
  <c r="F74" i="14"/>
  <c r="D74" i="14"/>
  <c r="C74" i="14"/>
  <c r="B74" i="14"/>
  <c r="A74" i="14"/>
  <c r="H73" i="14"/>
  <c r="G73" i="14"/>
  <c r="F73" i="14"/>
  <c r="D73" i="14"/>
  <c r="C73" i="14"/>
  <c r="B73" i="14"/>
  <c r="A73" i="14"/>
  <c r="H72" i="14"/>
  <c r="G72" i="14"/>
  <c r="F72" i="14"/>
  <c r="D72" i="14"/>
  <c r="C72" i="14"/>
  <c r="B72" i="14"/>
  <c r="A72" i="14"/>
  <c r="H71" i="14"/>
  <c r="G71" i="14"/>
  <c r="F71" i="14"/>
  <c r="D71" i="14"/>
  <c r="C71" i="14"/>
  <c r="B71" i="14"/>
  <c r="A71" i="14"/>
  <c r="H70" i="14"/>
  <c r="G70" i="14"/>
  <c r="F70" i="14"/>
  <c r="D70" i="14"/>
  <c r="C70" i="14"/>
  <c r="B70" i="14"/>
  <c r="A70" i="14"/>
  <c r="H69" i="14"/>
  <c r="G69" i="14"/>
  <c r="F69" i="14"/>
  <c r="D69" i="14"/>
  <c r="C69" i="14"/>
  <c r="B69" i="14"/>
  <c r="A69" i="14"/>
  <c r="H68" i="14"/>
  <c r="G68" i="14"/>
  <c r="F68" i="14"/>
  <c r="D68" i="14"/>
  <c r="C68" i="14"/>
  <c r="B68" i="14"/>
  <c r="C933" i="1" s="1"/>
  <c r="A68" i="14"/>
  <c r="H67" i="14"/>
  <c r="G67" i="14"/>
  <c r="F67" i="14"/>
  <c r="D67" i="14"/>
  <c r="C67" i="14"/>
  <c r="B67" i="14"/>
  <c r="A67" i="14"/>
  <c r="H66" i="14"/>
  <c r="G66" i="14"/>
  <c r="F66" i="14"/>
  <c r="D66" i="14"/>
  <c r="C66" i="14"/>
  <c r="B66" i="14"/>
  <c r="A66" i="14"/>
  <c r="G65" i="14"/>
  <c r="F65" i="14"/>
  <c r="D65" i="14"/>
  <c r="C65" i="14"/>
  <c r="B65" i="14"/>
  <c r="A65" i="14"/>
  <c r="G64" i="14"/>
  <c r="F64" i="14"/>
  <c r="D64" i="14"/>
  <c r="C64" i="14"/>
  <c r="B64" i="14"/>
  <c r="A64" i="14"/>
  <c r="G63" i="14"/>
  <c r="F63" i="14"/>
  <c r="D63" i="14"/>
  <c r="C63" i="14"/>
  <c r="B63" i="14"/>
  <c r="A63" i="14"/>
  <c r="G62" i="14"/>
  <c r="F62" i="14"/>
  <c r="D62" i="14"/>
  <c r="C62" i="14"/>
  <c r="B62" i="14"/>
  <c r="A62" i="14"/>
  <c r="G61" i="14"/>
  <c r="F61" i="14"/>
  <c r="D61" i="14"/>
  <c r="C61" i="14"/>
  <c r="B61" i="14"/>
  <c r="A61" i="14"/>
  <c r="G60" i="14"/>
  <c r="F60" i="14"/>
  <c r="D60" i="14"/>
  <c r="C60" i="14"/>
  <c r="B60" i="14"/>
  <c r="A60" i="14"/>
  <c r="G59" i="14"/>
  <c r="F59" i="14"/>
  <c r="D59" i="14"/>
  <c r="C59" i="14"/>
  <c r="B59" i="14"/>
  <c r="A59" i="14"/>
  <c r="G58" i="14"/>
  <c r="F58" i="14"/>
  <c r="D58" i="14"/>
  <c r="C58" i="14"/>
  <c r="B58" i="14"/>
  <c r="A58" i="14"/>
  <c r="G57" i="14"/>
  <c r="F57" i="14"/>
  <c r="D57" i="14"/>
  <c r="C57" i="14"/>
  <c r="B57" i="14"/>
  <c r="A57" i="14"/>
  <c r="G56" i="14"/>
  <c r="F56" i="14"/>
  <c r="D56" i="14"/>
  <c r="C56" i="14"/>
  <c r="B56" i="14"/>
  <c r="A56" i="14"/>
  <c r="G55" i="14"/>
  <c r="F55" i="14"/>
  <c r="D55" i="14"/>
  <c r="C55" i="14"/>
  <c r="B55" i="14"/>
  <c r="A55" i="14"/>
  <c r="G54" i="14"/>
  <c r="F54" i="14"/>
  <c r="D54" i="14"/>
  <c r="C54" i="14"/>
  <c r="B54" i="14"/>
  <c r="A54" i="14"/>
  <c r="H53" i="14"/>
  <c r="G53" i="14"/>
  <c r="F53" i="14"/>
  <c r="D53" i="14"/>
  <c r="C53" i="14"/>
  <c r="B53" i="14"/>
  <c r="A53" i="14"/>
  <c r="H52" i="14"/>
  <c r="G52" i="14"/>
  <c r="F52" i="14"/>
  <c r="D52" i="14"/>
  <c r="C52" i="14"/>
  <c r="B52" i="14"/>
  <c r="A52" i="14"/>
  <c r="G51" i="14"/>
  <c r="F51" i="14"/>
  <c r="D51" i="14"/>
  <c r="C51" i="14"/>
  <c r="B51" i="14"/>
  <c r="A51" i="14"/>
  <c r="G50" i="14"/>
  <c r="F50" i="14"/>
  <c r="D50" i="14"/>
  <c r="C50" i="14"/>
  <c r="B50" i="14"/>
  <c r="A50" i="14"/>
  <c r="G49" i="14"/>
  <c r="F49" i="14"/>
  <c r="D49" i="14"/>
  <c r="C49" i="14"/>
  <c r="B49" i="14"/>
  <c r="A49" i="14"/>
  <c r="H48" i="14"/>
  <c r="G48" i="14"/>
  <c r="F48" i="14"/>
  <c r="C48" i="14"/>
  <c r="E48" i="14" s="1"/>
  <c r="B48" i="14"/>
  <c r="A48" i="14"/>
  <c r="H47" i="14"/>
  <c r="G47" i="14"/>
  <c r="F47" i="14"/>
  <c r="D47" i="14"/>
  <c r="C47" i="14"/>
  <c r="B47" i="14"/>
  <c r="A47" i="14"/>
  <c r="H46" i="14"/>
  <c r="G46" i="14"/>
  <c r="F46" i="14"/>
  <c r="D46" i="14"/>
  <c r="C46" i="14"/>
  <c r="B46" i="14"/>
  <c r="A46" i="14"/>
  <c r="H45" i="14"/>
  <c r="G45" i="14"/>
  <c r="F45" i="14"/>
  <c r="D45" i="14"/>
  <c r="C45" i="14"/>
  <c r="B45" i="14"/>
  <c r="A45" i="14"/>
  <c r="H44" i="14"/>
  <c r="G44" i="14"/>
  <c r="F44" i="14"/>
  <c r="D44" i="14"/>
  <c r="C44" i="14"/>
  <c r="B44" i="14"/>
  <c r="A44" i="14"/>
  <c r="H43" i="14"/>
  <c r="G43" i="14"/>
  <c r="F43" i="14"/>
  <c r="D43" i="14"/>
  <c r="C43" i="14"/>
  <c r="B43" i="14"/>
  <c r="A43" i="14"/>
  <c r="H42" i="14"/>
  <c r="G42" i="14"/>
  <c r="F42" i="14"/>
  <c r="D42" i="14"/>
  <c r="C42" i="14"/>
  <c r="B42" i="14"/>
  <c r="A42" i="14"/>
  <c r="H41" i="14"/>
  <c r="G41" i="14"/>
  <c r="F41" i="14"/>
  <c r="D41" i="14"/>
  <c r="C41" i="14"/>
  <c r="B41" i="14"/>
  <c r="A41" i="14"/>
  <c r="H40" i="14"/>
  <c r="G40" i="14"/>
  <c r="F40" i="14"/>
  <c r="D40" i="14"/>
  <c r="C40" i="14"/>
  <c r="B40" i="14"/>
  <c r="A40" i="14"/>
  <c r="H39" i="14"/>
  <c r="G39" i="14"/>
  <c r="F39" i="14"/>
  <c r="D39" i="14"/>
  <c r="C39" i="14"/>
  <c r="B39" i="14"/>
  <c r="A39" i="14"/>
  <c r="H38" i="14"/>
  <c r="G38" i="14"/>
  <c r="F38" i="14"/>
  <c r="D38" i="14"/>
  <c r="C38" i="14"/>
  <c r="B38" i="14"/>
  <c r="A38" i="14"/>
  <c r="H37" i="14"/>
  <c r="G37" i="14"/>
  <c r="F37" i="14"/>
  <c r="D37" i="14"/>
  <c r="C37" i="14"/>
  <c r="B37" i="14"/>
  <c r="A37" i="14"/>
  <c r="H36" i="14"/>
  <c r="G36" i="14"/>
  <c r="F36" i="14"/>
  <c r="D36" i="14"/>
  <c r="C36" i="14"/>
  <c r="B36" i="14"/>
  <c r="A36" i="14"/>
  <c r="H35" i="14"/>
  <c r="G35" i="14"/>
  <c r="F35" i="14"/>
  <c r="D35" i="14"/>
  <c r="C35" i="14"/>
  <c r="B35" i="14"/>
  <c r="A35" i="14"/>
  <c r="H34" i="14"/>
  <c r="G34" i="14"/>
  <c r="F34" i="14"/>
  <c r="D34" i="14"/>
  <c r="C34" i="14"/>
  <c r="B34" i="14"/>
  <c r="A34" i="14"/>
  <c r="H33" i="14"/>
  <c r="G33" i="14"/>
  <c r="F33" i="14"/>
  <c r="D33" i="14"/>
  <c r="C33" i="14"/>
  <c r="B33" i="14"/>
  <c r="A33" i="14"/>
  <c r="H32" i="14"/>
  <c r="G32" i="14"/>
  <c r="F32" i="14"/>
  <c r="D32" i="14"/>
  <c r="C32" i="14"/>
  <c r="B32" i="14"/>
  <c r="A32" i="14"/>
  <c r="G31" i="14"/>
  <c r="F31" i="14"/>
  <c r="D31" i="14"/>
  <c r="C31" i="14"/>
  <c r="B31" i="14"/>
  <c r="A31" i="14"/>
  <c r="H30" i="14"/>
  <c r="G30" i="14"/>
  <c r="F30" i="14"/>
  <c r="D30" i="14"/>
  <c r="C30" i="14"/>
  <c r="B30" i="14"/>
  <c r="A30" i="14"/>
  <c r="G29" i="14"/>
  <c r="F29" i="14"/>
  <c r="D29" i="14"/>
  <c r="C29" i="14"/>
  <c r="B29" i="14"/>
  <c r="A29" i="14"/>
  <c r="H28" i="14"/>
  <c r="G28" i="14"/>
  <c r="F28" i="14"/>
  <c r="D28" i="14"/>
  <c r="C28" i="14"/>
  <c r="B28" i="14"/>
  <c r="A28" i="14"/>
  <c r="H27" i="14"/>
  <c r="G27" i="14"/>
  <c r="F27" i="14"/>
  <c r="D27" i="14"/>
  <c r="C27" i="14"/>
  <c r="B27" i="14"/>
  <c r="A27" i="14"/>
  <c r="H26" i="14"/>
  <c r="G26" i="14"/>
  <c r="F26" i="14"/>
  <c r="D26" i="14"/>
  <c r="C26" i="14"/>
  <c r="B26" i="14"/>
  <c r="A26" i="14"/>
  <c r="G25" i="14"/>
  <c r="F25" i="14"/>
  <c r="D25" i="14"/>
  <c r="C25" i="14"/>
  <c r="B25" i="14"/>
  <c r="A25" i="14"/>
  <c r="G24" i="14"/>
  <c r="F24" i="14"/>
  <c r="D24" i="14"/>
  <c r="C24" i="14"/>
  <c r="B24" i="14"/>
  <c r="A24" i="14"/>
  <c r="H23" i="14"/>
  <c r="G23" i="14"/>
  <c r="F23" i="14"/>
  <c r="D23" i="14"/>
  <c r="C23" i="14"/>
  <c r="B23" i="14"/>
  <c r="A23" i="14"/>
  <c r="H22" i="14"/>
  <c r="G22" i="14"/>
  <c r="F22" i="14"/>
  <c r="D22" i="14"/>
  <c r="C22" i="14"/>
  <c r="B22" i="14"/>
  <c r="A22" i="14"/>
  <c r="H21" i="14"/>
  <c r="G21" i="14"/>
  <c r="F21" i="14"/>
  <c r="D21" i="14"/>
  <c r="C21" i="14"/>
  <c r="B21" i="14"/>
  <c r="A21" i="14"/>
  <c r="H20" i="14"/>
  <c r="G20" i="14"/>
  <c r="F20" i="14"/>
  <c r="D20" i="14"/>
  <c r="C20" i="14"/>
  <c r="B20" i="14"/>
  <c r="A20" i="14"/>
  <c r="H19" i="14"/>
  <c r="G19" i="14"/>
  <c r="F19" i="14"/>
  <c r="D19" i="14"/>
  <c r="C19" i="14"/>
  <c r="B19" i="14"/>
  <c r="A19" i="14"/>
  <c r="H18" i="14"/>
  <c r="G18" i="14"/>
  <c r="F18" i="14"/>
  <c r="D18" i="14"/>
  <c r="C18" i="14"/>
  <c r="B18" i="14"/>
  <c r="A18" i="14"/>
  <c r="H17" i="14"/>
  <c r="G17" i="14"/>
  <c r="F17" i="14"/>
  <c r="D17" i="14"/>
  <c r="C17" i="14"/>
  <c r="B17" i="14"/>
  <c r="A17" i="14"/>
  <c r="H16" i="14"/>
  <c r="G16" i="14"/>
  <c r="F16" i="14"/>
  <c r="D16" i="14"/>
  <c r="C16" i="14"/>
  <c r="B16" i="14"/>
  <c r="A16" i="14"/>
  <c r="H15" i="14"/>
  <c r="G15" i="14"/>
  <c r="F15" i="14"/>
  <c r="D15" i="14"/>
  <c r="C15" i="14"/>
  <c r="B15" i="14"/>
  <c r="A15" i="14"/>
  <c r="H14" i="14"/>
  <c r="G14" i="14"/>
  <c r="F14" i="14"/>
  <c r="D14" i="14"/>
  <c r="C14" i="14"/>
  <c r="B14" i="14"/>
  <c r="A14" i="14"/>
  <c r="H13" i="14"/>
  <c r="G13" i="14"/>
  <c r="F13" i="14"/>
  <c r="D13" i="14"/>
  <c r="C13" i="14"/>
  <c r="B13" i="14"/>
  <c r="A13" i="14"/>
  <c r="H12" i="14"/>
  <c r="G12" i="14"/>
  <c r="F12" i="14"/>
  <c r="D12" i="14"/>
  <c r="C12" i="14"/>
  <c r="B12" i="14"/>
  <c r="A12" i="14"/>
  <c r="H11" i="14"/>
  <c r="G11" i="14"/>
  <c r="F11" i="14"/>
  <c r="D11" i="14"/>
  <c r="C11" i="14"/>
  <c r="B11" i="14"/>
  <c r="A11" i="14"/>
  <c r="G10" i="14"/>
  <c r="F10" i="14"/>
  <c r="D10" i="14"/>
  <c r="C10" i="14"/>
  <c r="B10" i="14"/>
  <c r="A10" i="14"/>
  <c r="G9" i="14"/>
  <c r="F9" i="14"/>
  <c r="D9" i="14"/>
  <c r="C9" i="14"/>
  <c r="B9" i="14"/>
  <c r="A9" i="14"/>
  <c r="G8" i="14"/>
  <c r="F8" i="14"/>
  <c r="D8" i="14"/>
  <c r="C8" i="14"/>
  <c r="B8" i="14"/>
  <c r="A8" i="14"/>
  <c r="G7" i="14"/>
  <c r="F7" i="14"/>
  <c r="E7" i="14"/>
  <c r="B7" i="14"/>
  <c r="A7" i="14"/>
  <c r="G6" i="14"/>
  <c r="F6" i="14"/>
  <c r="D6" i="14"/>
  <c r="C6" i="14"/>
  <c r="B6" i="14"/>
  <c r="A6" i="14"/>
  <c r="G5" i="14"/>
  <c r="F5" i="14"/>
  <c r="D5" i="14"/>
  <c r="C5" i="14"/>
  <c r="B5" i="14"/>
  <c r="A5" i="14"/>
  <c r="G4" i="14"/>
  <c r="F4" i="14"/>
  <c r="D4" i="14"/>
  <c r="C4" i="14"/>
  <c r="B4" i="14"/>
  <c r="A4" i="14"/>
  <c r="G3" i="14"/>
  <c r="F3" i="14"/>
  <c r="D3" i="14"/>
  <c r="C3" i="14"/>
  <c r="B3" i="14"/>
  <c r="A3" i="14"/>
  <c r="H2" i="14"/>
  <c r="G2" i="14"/>
  <c r="F2" i="14"/>
  <c r="E2" i="14"/>
  <c r="D2" i="14"/>
  <c r="C2" i="14"/>
  <c r="B2" i="14"/>
  <c r="A2" i="14"/>
  <c r="C954" i="1"/>
  <c r="C953" i="1"/>
  <c r="C951" i="1"/>
  <c r="C940" i="1"/>
  <c r="N814" i="1"/>
  <c r="M814" i="1"/>
  <c r="L814" i="1"/>
  <c r="K814" i="1"/>
  <c r="J814" i="1"/>
  <c r="I814" i="1"/>
  <c r="H814" i="1"/>
  <c r="G814" i="1"/>
  <c r="F814" i="1"/>
  <c r="E814" i="1"/>
  <c r="B720" i="1"/>
  <c r="A623" i="1"/>
  <c r="A624" i="1" s="1"/>
  <c r="F572" i="1"/>
  <c r="L541" i="1"/>
  <c r="G476" i="1"/>
  <c r="E476" i="1"/>
  <c r="C439" i="1"/>
  <c r="L406" i="1"/>
  <c r="H384" i="1"/>
  <c r="A188" i="1"/>
  <c r="A189" i="1" s="1"/>
  <c r="A179" i="1"/>
  <c r="A165" i="1"/>
  <c r="A169" i="1" s="1"/>
  <c r="A170" i="1" s="1"/>
  <c r="A146" i="1"/>
  <c r="A148" i="1" s="1"/>
  <c r="A150" i="1" s="1"/>
  <c r="A107" i="1"/>
  <c r="A108" i="1" s="1"/>
  <c r="A109" i="1" s="1"/>
  <c r="A110" i="1" s="1"/>
  <c r="A111" i="1" s="1"/>
  <c r="A112" i="1" s="1"/>
  <c r="C72" i="1"/>
  <c r="E102" i="14" l="1"/>
  <c r="E41" i="14"/>
  <c r="E73" i="14"/>
  <c r="E89" i="14"/>
  <c r="E124" i="14"/>
  <c r="E128" i="14"/>
  <c r="E100" i="14"/>
  <c r="C945" i="1"/>
  <c r="E136" i="14"/>
  <c r="C939" i="1"/>
  <c r="C943" i="1"/>
  <c r="E8" i="14"/>
  <c r="E28" i="14"/>
  <c r="E60" i="14"/>
  <c r="E101" i="14"/>
  <c r="E104" i="14"/>
  <c r="E121" i="14"/>
  <c r="C944" i="1"/>
  <c r="E6" i="14"/>
  <c r="E24" i="14"/>
  <c r="E36" i="14"/>
  <c r="E40" i="14"/>
  <c r="E50" i="14"/>
  <c r="E55" i="14"/>
  <c r="E59" i="14"/>
  <c r="E84" i="14"/>
  <c r="E95" i="14"/>
  <c r="E115" i="14"/>
  <c r="C941" i="1"/>
  <c r="E68" i="14"/>
  <c r="E76" i="14"/>
  <c r="E92" i="14"/>
  <c r="E99" i="14"/>
  <c r="E103" i="14"/>
  <c r="E120" i="14"/>
  <c r="E71" i="14"/>
  <c r="E87" i="14"/>
  <c r="E94" i="14"/>
  <c r="E114" i="14"/>
  <c r="E126" i="14"/>
  <c r="E18" i="14"/>
  <c r="E25" i="14"/>
  <c r="E46" i="14"/>
  <c r="E105" i="14"/>
  <c r="E110" i="14"/>
  <c r="E129" i="14"/>
  <c r="E54" i="14"/>
  <c r="E62" i="14"/>
  <c r="E74" i="14"/>
  <c r="E21" i="14"/>
  <c r="E81" i="14"/>
  <c r="E97" i="14"/>
  <c r="E130" i="14"/>
  <c r="E43" i="14"/>
  <c r="E112" i="14"/>
  <c r="E133" i="14"/>
  <c r="E22" i="14"/>
  <c r="E58" i="14"/>
  <c r="E66" i="14"/>
  <c r="E82" i="14"/>
  <c r="E98" i="14"/>
  <c r="E80" i="14"/>
  <c r="E64" i="14"/>
  <c r="E78" i="14"/>
  <c r="E134" i="14"/>
  <c r="C934" i="1"/>
  <c r="E31" i="14"/>
  <c r="E38" i="14"/>
  <c r="E123" i="14"/>
  <c r="E38" i="15"/>
  <c r="E117" i="15"/>
  <c r="E29" i="14"/>
  <c r="F52" i="13"/>
  <c r="E137" i="14"/>
  <c r="E13" i="14"/>
  <c r="E53" i="14"/>
  <c r="E135" i="14"/>
  <c r="E32" i="14"/>
  <c r="E96" i="14"/>
  <c r="E107" i="14"/>
  <c r="E30" i="14"/>
  <c r="E56" i="14"/>
  <c r="E131" i="14"/>
  <c r="E35" i="14"/>
  <c r="E14" i="15"/>
  <c r="E127" i="14"/>
  <c r="E33" i="14"/>
  <c r="E49" i="14"/>
  <c r="E4" i="14"/>
  <c r="E125" i="14"/>
  <c r="E106" i="15"/>
  <c r="E19" i="14"/>
  <c r="E26" i="14"/>
  <c r="E132" i="14"/>
  <c r="C942" i="1"/>
  <c r="E20" i="14"/>
  <c r="E27" i="14"/>
  <c r="E34" i="14"/>
  <c r="E63" i="14"/>
  <c r="E75" i="14"/>
  <c r="E91" i="14"/>
  <c r="E39" i="14"/>
  <c r="E61" i="14"/>
  <c r="E113" i="14"/>
  <c r="C937" i="1"/>
  <c r="E16" i="14"/>
  <c r="E3" i="14"/>
  <c r="C936" i="1"/>
  <c r="E9" i="14"/>
  <c r="E23" i="14"/>
  <c r="E37" i="14"/>
  <c r="E51" i="14"/>
  <c r="C935" i="1"/>
  <c r="E11" i="14"/>
  <c r="C955" i="1"/>
  <c r="E14" i="14"/>
  <c r="E44" i="14"/>
  <c r="E69" i="14"/>
  <c r="E85" i="14"/>
  <c r="E12" i="14"/>
  <c r="E42" i="14"/>
  <c r="E67" i="14"/>
  <c r="E83" i="14"/>
  <c r="E109" i="14"/>
  <c r="E116" i="14"/>
  <c r="E90" i="14"/>
  <c r="E10" i="14"/>
  <c r="E17" i="14"/>
  <c r="E47" i="14"/>
  <c r="E52" i="14"/>
  <c r="E57" i="14"/>
  <c r="E65" i="14"/>
  <c r="E72" i="14"/>
  <c r="E88" i="14"/>
  <c r="C932" i="1"/>
  <c r="C898" i="1" s="1"/>
  <c r="E5" i="14"/>
  <c r="E15" i="14"/>
  <c r="E45" i="14"/>
  <c r="E70" i="14"/>
  <c r="E79" i="14"/>
  <c r="E86" i="14"/>
  <c r="D60" i="15"/>
  <c r="D83" i="15"/>
  <c r="D93" i="15" s="1"/>
  <c r="D105" i="15" s="1"/>
  <c r="D116" i="15" s="1"/>
  <c r="D132" i="15" s="1"/>
  <c r="D144" i="15" s="1"/>
  <c r="D156" i="15" s="1"/>
  <c r="G187" i="15"/>
  <c r="G176" i="15"/>
  <c r="B176" i="15"/>
  <c r="B187" i="15"/>
  <c r="E72" i="15"/>
  <c r="F176" i="15"/>
  <c r="F187" i="15"/>
  <c r="C60" i="15"/>
  <c r="C83" i="15"/>
  <c r="C93" i="15" s="1"/>
  <c r="C105" i="15" s="1"/>
  <c r="C116" i="15" s="1"/>
  <c r="C132" i="15" s="1"/>
  <c r="A176" i="15"/>
  <c r="A187" i="15"/>
  <c r="E198" i="15"/>
  <c r="C899" i="1" l="1"/>
  <c r="C914" i="1"/>
  <c r="C913" i="1"/>
  <c r="C897" i="1"/>
  <c r="C896" i="1"/>
  <c r="C894" i="1"/>
  <c r="C895" i="1"/>
  <c r="C901" i="1"/>
  <c r="C900" i="1"/>
  <c r="C903" i="1"/>
  <c r="C902" i="1"/>
  <c r="C904" i="1"/>
  <c r="A219" i="15"/>
  <c r="A231" i="15" s="1"/>
  <c r="A244" i="15" s="1"/>
  <c r="A198" i="15"/>
  <c r="C144" i="15"/>
  <c r="C156" i="15" s="1"/>
  <c r="E132" i="15"/>
  <c r="E144" i="15" s="1"/>
  <c r="F219" i="15"/>
  <c r="F231" i="15" s="1"/>
  <c r="F244" i="15" s="1"/>
  <c r="F198" i="15"/>
  <c r="G198" i="15"/>
  <c r="G219" i="15"/>
  <c r="G231" i="15" s="1"/>
  <c r="G244" i="15" s="1"/>
  <c r="G142" i="14"/>
  <c r="E142" i="14"/>
  <c r="B219" i="15"/>
  <c r="B231" i="15" s="1"/>
  <c r="B244" i="15" s="1"/>
  <c r="B198" i="15"/>
  <c r="D176" i="15"/>
  <c r="D187" i="15"/>
  <c r="D219" i="15" s="1"/>
  <c r="D231" i="15" s="1"/>
  <c r="D244" i="15" s="1"/>
  <c r="C187" i="15" l="1"/>
  <c r="C219" i="15" s="1"/>
  <c r="C231" i="15" s="1"/>
  <c r="C244" i="15" s="1"/>
  <c r="C176" i="15"/>
</calcChain>
</file>

<file path=xl/sharedStrings.xml><?xml version="1.0" encoding="utf-8"?>
<sst xmlns="http://schemas.openxmlformats.org/spreadsheetml/2006/main" count="7072" uniqueCount="2040">
  <si>
    <t>POSITION</t>
  </si>
  <si>
    <t>FILLED</t>
  </si>
  <si>
    <t>SALARY SCALE</t>
  </si>
  <si>
    <t>EMPLOYEE NAME</t>
  </si>
  <si>
    <t>NIN</t>
  </si>
  <si>
    <t>GENDER</t>
  </si>
  <si>
    <t>DATE OF BIRTH</t>
  </si>
  <si>
    <t>POSTING_STATION</t>
  </si>
  <si>
    <t>POSTING_TERMS</t>
  </si>
  <si>
    <t>SUB_GROUP</t>
  </si>
  <si>
    <t>FIRST APPT DATE</t>
  </si>
  <si>
    <t>CURRENT APPT_DATE</t>
  </si>
  <si>
    <t>DATE OF CURRENT CONTRACT</t>
  </si>
  <si>
    <t>EXPIRY OF CURRENT CONTRACT</t>
  </si>
  <si>
    <t xml:space="preserve">NARO SECRETARIAT </t>
  </si>
  <si>
    <t xml:space="preserve">OFFICE OF THE DIRECTOR GENERAL </t>
  </si>
  <si>
    <t>Director General</t>
  </si>
  <si>
    <t>UR 1(i)</t>
  </si>
  <si>
    <t>YONA K. BAGUMA</t>
  </si>
  <si>
    <t>CM64006107A3TF</t>
  </si>
  <si>
    <t>Male</t>
  </si>
  <si>
    <t>NAROSEC</t>
  </si>
  <si>
    <t>CONTRACT</t>
  </si>
  <si>
    <t>Management</t>
  </si>
  <si>
    <t>VACANT</t>
  </si>
  <si>
    <t>Principal  Administrative  Assistant G.I</t>
  </si>
  <si>
    <t>UR 3Admin</t>
  </si>
  <si>
    <t>SYLIVIA LILIAN NAKAZIBWE</t>
  </si>
  <si>
    <t>CF7303610AZKNC</t>
  </si>
  <si>
    <t>Female</t>
  </si>
  <si>
    <t>Administration</t>
  </si>
  <si>
    <t>NAKAWESA VIOLET</t>
  </si>
  <si>
    <t>CF78052105ZA7E</t>
  </si>
  <si>
    <t>Principal Legal Officer</t>
  </si>
  <si>
    <t>Senior Communication Officer</t>
  </si>
  <si>
    <t>UR 4Admin</t>
  </si>
  <si>
    <t>FRANK MUGABI</t>
  </si>
  <si>
    <t>CM79033104377A</t>
  </si>
  <si>
    <t>Senior Administrative Assistant G.I</t>
  </si>
  <si>
    <t>UR 5(i)Admin</t>
  </si>
  <si>
    <t>Senior Administrative Assistant G.II</t>
  </si>
  <si>
    <t>UR 5(ii)Admin</t>
  </si>
  <si>
    <t>GERTRUDE  NAMUTEBI</t>
  </si>
  <si>
    <t>CF75052101RNJJ</t>
  </si>
  <si>
    <t>Driver</t>
  </si>
  <si>
    <t>UR 7</t>
  </si>
  <si>
    <t>Office Attendant</t>
  </si>
  <si>
    <t>UR 8</t>
  </si>
  <si>
    <t>DAVID  MUTANDA LYADDA</t>
  </si>
  <si>
    <t>CM66060100CZHJ</t>
  </si>
  <si>
    <t>Support Staff</t>
  </si>
  <si>
    <t>Sub-total</t>
  </si>
  <si>
    <t/>
  </si>
  <si>
    <t xml:space="preserve">DIRECTORATE OF CORPORATE SERVICES </t>
  </si>
  <si>
    <t>Director Corporate Services</t>
  </si>
  <si>
    <t>UR 2(i)</t>
  </si>
  <si>
    <t>STEVENS KISAKA</t>
  </si>
  <si>
    <t>CM80030101YZ7J</t>
  </si>
  <si>
    <t xml:space="preserve">Management </t>
  </si>
  <si>
    <t>UR 3RS</t>
  </si>
  <si>
    <t>SUMINI NANSUBUGA</t>
  </si>
  <si>
    <t>CF7905210CD1ML</t>
  </si>
  <si>
    <t>Research</t>
  </si>
  <si>
    <t>Principal Civil Engineer</t>
  </si>
  <si>
    <t>RICHARD MUKASA MALE</t>
  </si>
  <si>
    <t>CM7405210D7TAK</t>
  </si>
  <si>
    <t>Civil Engineer</t>
  </si>
  <si>
    <t>UR 5(i)RT</t>
  </si>
  <si>
    <t>CHARLES  KIBIRIGE</t>
  </si>
  <si>
    <t>CM770231023NFE</t>
  </si>
  <si>
    <t xml:space="preserve">Research Support </t>
  </si>
  <si>
    <t>Principal Procurement Officer</t>
  </si>
  <si>
    <t>EVA  NAKIGULI</t>
  </si>
  <si>
    <t>CF75030101Q73A</t>
  </si>
  <si>
    <t>Senior Procurement Officer</t>
  </si>
  <si>
    <t>SOLOMON  WAJJA</t>
  </si>
  <si>
    <t>CM8605210G8F2J</t>
  </si>
  <si>
    <t xml:space="preserve">Senior Administrative Officer </t>
  </si>
  <si>
    <t>NUULU  NAKAYIZA</t>
  </si>
  <si>
    <t>CF81068108DFHK</t>
  </si>
  <si>
    <t>Senior Administrative Assistant Grade.I</t>
  </si>
  <si>
    <t>JANE  KALIITWA</t>
  </si>
  <si>
    <t>CF84006106083C</t>
  </si>
  <si>
    <t>Procurement Officer</t>
  </si>
  <si>
    <t>Administrative Assistant</t>
  </si>
  <si>
    <t>UR 6Admin</t>
  </si>
  <si>
    <t>IMMACULATE KAAHWA</t>
  </si>
  <si>
    <t>CF8700610797XG</t>
  </si>
  <si>
    <t>STUART  KYADDONDO</t>
  </si>
  <si>
    <t>CM74017101MJVJ</t>
  </si>
  <si>
    <t>BANABAS  NSEKANTEBERWE</t>
  </si>
  <si>
    <t>CM86006100LR8C</t>
  </si>
  <si>
    <t>BUSINGYE IBRAHIM GODWINS</t>
  </si>
  <si>
    <t>CM790061058ALC</t>
  </si>
  <si>
    <t>DDUMBA DAVID</t>
  </si>
  <si>
    <t>CM84023109D83E</t>
  </si>
  <si>
    <t xml:space="preserve">ADRIKO NICHOLAS </t>
  </si>
  <si>
    <t>CM92002108ADVH</t>
  </si>
  <si>
    <t>SUSANNE AYIKORU</t>
  </si>
  <si>
    <t>CF83053102EAMJ</t>
  </si>
  <si>
    <t>Security Guard</t>
  </si>
  <si>
    <t>GILBERT  OCIRCAN</t>
  </si>
  <si>
    <t>CM800331002M5K</t>
  </si>
  <si>
    <t>DIRECTORATE RESEARCH COORDINATION</t>
  </si>
  <si>
    <t>Deputy Director General</t>
  </si>
  <si>
    <t>UR 1(ii)</t>
  </si>
  <si>
    <t>SWIDIQ  MUGERWA</t>
  </si>
  <si>
    <t>CM800121022GZJ</t>
  </si>
  <si>
    <t>Senior Principal Research Officer</t>
  </si>
  <si>
    <t>UR 2(ii)RS</t>
  </si>
  <si>
    <t>GEORGE  LUKWAGO</t>
  </si>
  <si>
    <t>CM61091100HXYF</t>
  </si>
  <si>
    <t>VICTORIA TIBENDA NAMULAWA</t>
  </si>
  <si>
    <t>CF74007108D4TK</t>
  </si>
  <si>
    <t>Principal Monitoring and Evaluation Officer</t>
  </si>
  <si>
    <t>AKWANGO ALIAU DAMALIE</t>
  </si>
  <si>
    <t>CF77058100U49H</t>
  </si>
  <si>
    <t>Principal Planning Officer</t>
  </si>
  <si>
    <t>ABBEY  SEGUYA</t>
  </si>
  <si>
    <t>CM860681022FMF</t>
  </si>
  <si>
    <t>Principal Grants Officer</t>
  </si>
  <si>
    <t>AGABA HILLARY</t>
  </si>
  <si>
    <t>CM7000910GG7HL</t>
  </si>
  <si>
    <t>UR 5(i)RS</t>
  </si>
  <si>
    <t>JUMA  NDHOKERO</t>
  </si>
  <si>
    <t>CM66094100X1HJ</t>
  </si>
  <si>
    <t>ANGELLA NANYONGA KAKOOZA</t>
  </si>
  <si>
    <t>CF890580011552</t>
  </si>
  <si>
    <t xml:space="preserve">Senior Environmental Social Safe Guard Officer </t>
  </si>
  <si>
    <t>UR 4RS</t>
  </si>
  <si>
    <t>EDIGAR BASALIZA</t>
  </si>
  <si>
    <t>CM080101015THK</t>
  </si>
  <si>
    <t xml:space="preserve">Econometrician </t>
  </si>
  <si>
    <t>AGABA GERALD</t>
  </si>
  <si>
    <t>CM9214800278657</t>
  </si>
  <si>
    <t>Principal  Administrative Assistant G.II</t>
  </si>
  <si>
    <t>NABBUMBA MARGARET LILIAN</t>
  </si>
  <si>
    <t>CF7705210358CG</t>
  </si>
  <si>
    <t>BARIREMWA JAVILLA GUMA</t>
  </si>
  <si>
    <t>CF79023109KQZL</t>
  </si>
  <si>
    <t>Grants Officer</t>
  </si>
  <si>
    <t>ABASI KIGOZI</t>
  </si>
  <si>
    <t>CM850521085D4J</t>
  </si>
  <si>
    <t>DIRECTORATE OF AGRICULTURAL TECHNOLOGY PROMOTION</t>
  </si>
  <si>
    <t>KASSIM  SADIK</t>
  </si>
  <si>
    <t>CM72066102DZKA</t>
  </si>
  <si>
    <t>UR 3 RS</t>
  </si>
  <si>
    <t>ZAWEDDE BARBARA MUGWANYA</t>
  </si>
  <si>
    <t>CF7505210515PC</t>
  </si>
  <si>
    <t>Mukono ZARDI</t>
  </si>
  <si>
    <t>UR 5(i)Admin.</t>
  </si>
  <si>
    <t>JESSICA  KAFUREEKA</t>
  </si>
  <si>
    <t>CF710271039XYH</t>
  </si>
  <si>
    <t>Senior Outreach Officer</t>
  </si>
  <si>
    <t>JANE  KUGONZA</t>
  </si>
  <si>
    <t>CF77010109D8ZF</t>
  </si>
  <si>
    <t>Senior Incubation and Commercialization Officer</t>
  </si>
  <si>
    <t>ELIZA NAHAYO WANDERA</t>
  </si>
  <si>
    <t>CF87042101J77J</t>
  </si>
  <si>
    <t>Senior Intellectual Property Management Officer</t>
  </si>
  <si>
    <t>JOSEPH  MBIHAYEIMAANA</t>
  </si>
  <si>
    <t>CM88061102C8EH</t>
  </si>
  <si>
    <t>GEOFREY  KAPALAGA</t>
  </si>
  <si>
    <t>CM82047104X08C</t>
  </si>
  <si>
    <t>VICTORIA  MBIGIDDE</t>
  </si>
  <si>
    <t>CF85052104T2RA</t>
  </si>
  <si>
    <t>UR 4RT</t>
  </si>
  <si>
    <t>SYLVIA NAMUSOKE KIWANUKA</t>
  </si>
  <si>
    <t>CF820121039CWE</t>
  </si>
  <si>
    <t>Senior Partnership Officer</t>
  </si>
  <si>
    <t>Digital Media Officer</t>
  </si>
  <si>
    <t>DICKSON MUYOMBA</t>
  </si>
  <si>
    <t>CM86052104TJGK</t>
  </si>
  <si>
    <t>Information Technology Officer</t>
  </si>
  <si>
    <t>TONNY  SEKABIRA</t>
  </si>
  <si>
    <t>CM8405210FG9LJ</t>
  </si>
  <si>
    <t>ELENEST  JINGO</t>
  </si>
  <si>
    <t>CM90100100H80F</t>
  </si>
  <si>
    <t>ANNET  NALWOGA</t>
  </si>
  <si>
    <t>CF6705210H59ME</t>
  </si>
  <si>
    <t>Librarian</t>
  </si>
  <si>
    <t>ERIA  BWANA-SIMBA</t>
  </si>
  <si>
    <t>CM74015104X7WD</t>
  </si>
  <si>
    <t>SALEH SALIM</t>
  </si>
  <si>
    <t>CM920381009KCH</t>
  </si>
  <si>
    <t>DIRECTORATE OF INTERNAL AUDIT</t>
  </si>
  <si>
    <t>Director Internal Audit</t>
  </si>
  <si>
    <t>OWOR DENIS OBONYO</t>
  </si>
  <si>
    <t>CM7003910A6R7A</t>
  </si>
  <si>
    <t>Principal Internal Auditor</t>
  </si>
  <si>
    <t>Senior Internal Auditor</t>
  </si>
  <si>
    <t>WILLIAM  ODEKE</t>
  </si>
  <si>
    <t>CM69079103J84H</t>
  </si>
  <si>
    <t>30/6/2023</t>
  </si>
  <si>
    <t xml:space="preserve">DICKY OBIGA </t>
  </si>
  <si>
    <t>CM8100210AAE0H</t>
  </si>
  <si>
    <t>PERCY  NAKATO</t>
  </si>
  <si>
    <t>CF7004510190MH</t>
  </si>
  <si>
    <t>FRED DALEX  APITA</t>
  </si>
  <si>
    <t>CM69022101VFAE</t>
  </si>
  <si>
    <t>DIRECTORATE OF FINANCE AND ACCOUNTS</t>
  </si>
  <si>
    <t xml:space="preserve">Director Finance and Accounts </t>
  </si>
  <si>
    <t>TEGIIKE JULIUS MUNUNUZI</t>
  </si>
  <si>
    <t>CM690491043YXC</t>
  </si>
  <si>
    <t>Principal Accountant</t>
  </si>
  <si>
    <t>Senior Accountant</t>
  </si>
  <si>
    <t>CHARLES  MUGISHA</t>
  </si>
  <si>
    <t>CM70101106FYPH</t>
  </si>
  <si>
    <t>TEBAGERWA EVA COLLIN</t>
  </si>
  <si>
    <t>CF73012104K26J</t>
  </si>
  <si>
    <t>ELIZABETH  ATUHAIRE</t>
  </si>
  <si>
    <t>CF8500910KNWYJ</t>
  </si>
  <si>
    <t>Accountant</t>
  </si>
  <si>
    <t>BERNA  NAMULONDO</t>
  </si>
  <si>
    <t>CF90030102102G</t>
  </si>
  <si>
    <t>Inventory Management Officer</t>
  </si>
  <si>
    <t>Senior Assistant Inventory Management Officer</t>
  </si>
  <si>
    <t>TUSIIMIRE SARAH</t>
  </si>
  <si>
    <t>CF77101103XRVD</t>
  </si>
  <si>
    <t>RESTY FOKWORORA KABAGAMBE</t>
  </si>
  <si>
    <t>CF831061019NKE</t>
  </si>
  <si>
    <t>Senior Assistant Accountant</t>
  </si>
  <si>
    <t>ODETTA JANE  HABYARA</t>
  </si>
  <si>
    <t>CF79018102VJ2L</t>
  </si>
  <si>
    <t>IRENE  NABBUYE</t>
  </si>
  <si>
    <t>CF7905210E8KYC</t>
  </si>
  <si>
    <t>Assistant Accountant</t>
  </si>
  <si>
    <t>FRANCIS  KIIZA</t>
  </si>
  <si>
    <t>CM91006102M0QE</t>
  </si>
  <si>
    <t>PAUL MUKAMA TUSUBIRA</t>
  </si>
  <si>
    <t>CF730081049KRC</t>
  </si>
  <si>
    <t>DIRECTORATE OF HUMAN RESOURCE</t>
  </si>
  <si>
    <t>Director Human Resource</t>
  </si>
  <si>
    <t>MARK SSEREMBA</t>
  </si>
  <si>
    <t>CM73100103A75K</t>
  </si>
  <si>
    <t>Principal Human Resource Officer</t>
  </si>
  <si>
    <t>Senior Human Resource Officer</t>
  </si>
  <si>
    <t>NOREEN KYAMANYWA NABWAMI</t>
  </si>
  <si>
    <t>CF77030106PEAD</t>
  </si>
  <si>
    <t>EDMOND COSMAS  OSOA</t>
  </si>
  <si>
    <t>CM72002101QQLH</t>
  </si>
  <si>
    <t>MADINA WALUSIMBI NAKIMULI</t>
  </si>
  <si>
    <t>CF760821023RYC</t>
  </si>
  <si>
    <t>BETH ROSALIE NAKAYENZE</t>
  </si>
  <si>
    <t>CF81051102Q3ZL</t>
  </si>
  <si>
    <t>Records Officer</t>
  </si>
  <si>
    <t>MOSES  YIGA</t>
  </si>
  <si>
    <t>CM690121058EHL</t>
  </si>
  <si>
    <t>Records Assistant</t>
  </si>
  <si>
    <t>TEDDY  ADONGO</t>
  </si>
  <si>
    <t>CF860791042P9F</t>
  </si>
  <si>
    <t>EPUNE HERBERT DENIS</t>
  </si>
  <si>
    <t>CM85079101UP1G</t>
  </si>
  <si>
    <t>LINDA MONICA NAKYAJJA</t>
  </si>
  <si>
    <t>CF8705210H0M5F</t>
  </si>
  <si>
    <t>TOTAL  FOR NAROSEC</t>
  </si>
  <si>
    <t>NATIONAL AGRICULTURAL RESEARCH LABORATORIES</t>
  </si>
  <si>
    <t>BIODIVERSITY &amp; BIOTECHNOLOGY-BBP PROGRAM</t>
  </si>
  <si>
    <t xml:space="preserve">Senior Principal Research Officer </t>
  </si>
  <si>
    <t>JOHN  MULUMBA WASSWA</t>
  </si>
  <si>
    <t>CM64032105GFUD</t>
  </si>
  <si>
    <t>NARL</t>
  </si>
  <si>
    <t xml:space="preserve">Principal Research Officer                                </t>
  </si>
  <si>
    <t xml:space="preserve">Senior Research Officer                                </t>
  </si>
  <si>
    <t>CATHERINE  KIWUKA</t>
  </si>
  <si>
    <t>CF8202310A4LGD</t>
  </si>
  <si>
    <t>KASIFA  KATONO</t>
  </si>
  <si>
    <t>CF84007103WQGD</t>
  </si>
  <si>
    <t xml:space="preserve">Research Officer                                                  </t>
  </si>
  <si>
    <t>NAMULONDO BRENDA</t>
  </si>
  <si>
    <t>CF80013108K7HF</t>
  </si>
  <si>
    <t>MUFUMBO RAPHAEL</t>
  </si>
  <si>
    <t>CM81030101N6PK</t>
  </si>
  <si>
    <t>WINNIFRED AOOL OPIO</t>
  </si>
  <si>
    <t>CF860571018ZAD</t>
  </si>
  <si>
    <t>ADOKORACH JOYCE</t>
  </si>
  <si>
    <t>CF80110102JW4G</t>
  </si>
  <si>
    <t xml:space="preserve">Senior Principal Technician                                </t>
  </si>
  <si>
    <t xml:space="preserve">Senior Technician                                                       </t>
  </si>
  <si>
    <t>UR 5(ii)RT</t>
  </si>
  <si>
    <t>ADUMO AROPET STELLA</t>
  </si>
  <si>
    <t>CF65097101QJFA</t>
  </si>
  <si>
    <t>NAMPEERA FLORENCE</t>
  </si>
  <si>
    <t>CF71069103RVKK</t>
  </si>
  <si>
    <t>ZAAKE EVA</t>
  </si>
  <si>
    <t>CF72023109FPFF</t>
  </si>
  <si>
    <t xml:space="preserve">Technician                                                                  </t>
  </si>
  <si>
    <t>UR 6RT</t>
  </si>
  <si>
    <t xml:space="preserve">Senior Principal Research Officer                 </t>
  </si>
  <si>
    <t>DRAKE  MUBIRU NAGULUMBYA</t>
  </si>
  <si>
    <t>CM6205210789MK</t>
  </si>
  <si>
    <t>Principal Research Officer</t>
  </si>
  <si>
    <t>CRAMMER  KAIZZI KAYUKI</t>
  </si>
  <si>
    <t>CM64032101UHYH</t>
  </si>
  <si>
    <t>KOMUTUNGA TUMWESIGYE ZIRAAGA EVERLINE</t>
  </si>
  <si>
    <t>CF62037108W0WA</t>
  </si>
  <si>
    <t>CM64069102AAJE</t>
  </si>
  <si>
    <t>OPIO JULIUS</t>
  </si>
  <si>
    <t>CM79070101UHPL</t>
  </si>
  <si>
    <t>ONGUA FANUEL</t>
  </si>
  <si>
    <t>CM8000210ECGDH</t>
  </si>
  <si>
    <t>LWASA JAMES</t>
  </si>
  <si>
    <t>CM69052107G13A</t>
  </si>
  <si>
    <t>NANSAMBA ANGELLA</t>
  </si>
  <si>
    <t>CF7305210CFLFF</t>
  </si>
  <si>
    <t xml:space="preserve">Technician                                                             </t>
  </si>
  <si>
    <t>KENYI NOAH</t>
  </si>
  <si>
    <t>CM94047100J66K</t>
  </si>
  <si>
    <t xml:space="preserve">Principal Research Officer </t>
  </si>
  <si>
    <t>CM70106102F1XH</t>
  </si>
  <si>
    <t>BAKAZE ELYEZA</t>
  </si>
  <si>
    <t>CF712023109FPFF</t>
  </si>
  <si>
    <t>KASHARU APOLO KATWIJUKYE</t>
  </si>
  <si>
    <t>CM69027109TPTC</t>
  </si>
  <si>
    <t xml:space="preserve">Principal Technician                                           </t>
  </si>
  <si>
    <t>NAMUTEBI KAYEMBA MARTHA</t>
  </si>
  <si>
    <t>CF72023104VUQL</t>
  </si>
  <si>
    <t>FOOD BIOSCIENCES &amp; AGRIBUSINESS-(FBA) PROGRAMME</t>
  </si>
  <si>
    <t>HARRIET  MUYINZA</t>
  </si>
  <si>
    <t>CF73052103Q8PC</t>
  </si>
  <si>
    <t>Senior Research Officer</t>
  </si>
  <si>
    <t>CF74024101FK5F</t>
  </si>
  <si>
    <t>KEPHAS  NOWAKUNDA</t>
  </si>
  <si>
    <t>CM66009106730A</t>
  </si>
  <si>
    <t>PATRICK JACOB ODONGO</t>
  </si>
  <si>
    <t>CM80097101Q99H</t>
  </si>
  <si>
    <t xml:space="preserve">Research Officer </t>
  </si>
  <si>
    <t>KHAKASA ELIZABETH</t>
  </si>
  <si>
    <t>CF79026106TWVF</t>
  </si>
  <si>
    <t>TINYIRO EDGAR SAMUEL</t>
  </si>
  <si>
    <t>CM84102100WL4C</t>
  </si>
  <si>
    <t>CATHERINE  NAMUYIMBWA</t>
  </si>
  <si>
    <t>CF750121048R2D</t>
  </si>
  <si>
    <t>Principal Technician</t>
  </si>
  <si>
    <t xml:space="preserve">Senior Technician </t>
  </si>
  <si>
    <t>AGUTI GRACE GLORIA</t>
  </si>
  <si>
    <t>CF71079101WQKG</t>
  </si>
  <si>
    <t>MUKASA YUSUF</t>
  </si>
  <si>
    <t>CM890521019K7H</t>
  </si>
  <si>
    <t>BIOSYSTEMS &amp; AGRICULTURAL ENGINEERING-BAE PROGRAMME</t>
  </si>
  <si>
    <t>LUBWAMA KIYIMBA FLORENCE BEATRICE</t>
  </si>
  <si>
    <t>CF69012100H69H</t>
  </si>
  <si>
    <t>CM67002104KC5J</t>
  </si>
  <si>
    <t xml:space="preserve">Senior Research Officer  </t>
  </si>
  <si>
    <t>GODFREY BYARUHANGA KAFURUKA</t>
  </si>
  <si>
    <t>CM73106103GV3J</t>
  </si>
  <si>
    <t xml:space="preserve">Research Officer  </t>
  </si>
  <si>
    <t>MUTUMBA CHARLES</t>
  </si>
  <si>
    <t>CM65023108X01L</t>
  </si>
  <si>
    <t>OKURUT SAMUEL</t>
  </si>
  <si>
    <t>CM70108101PK0C</t>
  </si>
  <si>
    <t>WALOZI RONALD</t>
  </si>
  <si>
    <t>CM84035101FNWH</t>
  </si>
  <si>
    <t xml:space="preserve">Principal Technician  </t>
  </si>
  <si>
    <t xml:space="preserve">Senior Technician   </t>
  </si>
  <si>
    <t>MUZEI JAMES</t>
  </si>
  <si>
    <t>CM69102101DZ1J</t>
  </si>
  <si>
    <t xml:space="preserve">Technician        </t>
  </si>
  <si>
    <t>IMAN SIMON MULOBERA</t>
  </si>
  <si>
    <t>CM91042101PGNH</t>
  </si>
  <si>
    <t>Farm Manager</t>
  </si>
  <si>
    <t>MOSES LUMU</t>
  </si>
  <si>
    <t>CM88068106W4RA</t>
  </si>
  <si>
    <t>TOTAL TECHNICAL STAFF</t>
  </si>
  <si>
    <t>ADMINISTRATION</t>
  </si>
  <si>
    <t xml:space="preserve">Director of Research </t>
  </si>
  <si>
    <t>ROBOONI TUMUHIMBISE</t>
  </si>
  <si>
    <t>CM780271039XUK</t>
  </si>
  <si>
    <t xml:space="preserve">MUTEMA EDWARD </t>
  </si>
  <si>
    <t>CHARLES  SSENGENDO</t>
  </si>
  <si>
    <t>CM71068106D50G</t>
  </si>
  <si>
    <t xml:space="preserve"> Internal Auditor</t>
  </si>
  <si>
    <t>EDISON ALECHO</t>
  </si>
  <si>
    <t>CM690391037PYE</t>
  </si>
  <si>
    <t>Senior Development Communication Officer</t>
  </si>
  <si>
    <t>EMILY ARAYO</t>
  </si>
  <si>
    <t>CF75038104JK2D</t>
  </si>
  <si>
    <t xml:space="preserve">Senior  Accountant </t>
  </si>
  <si>
    <t>BEATRICE ZAKALIKA NABATEREGGA</t>
  </si>
  <si>
    <t>CF73068102H3PG</t>
  </si>
  <si>
    <t xml:space="preserve">JULIET NAMUTEBI </t>
  </si>
  <si>
    <t>CF91012102WELF</t>
  </si>
  <si>
    <t>ROSE  BUSINGE</t>
  </si>
  <si>
    <t>CF71006102GPXH</t>
  </si>
  <si>
    <t>TIBEIJJUKA OLIVIA</t>
  </si>
  <si>
    <t>CF75008106KT8J</t>
  </si>
  <si>
    <t>NAMBEJJA JULIET</t>
  </si>
  <si>
    <t>CF740601034XEJ</t>
  </si>
  <si>
    <t>ARIAO DEBORAH</t>
  </si>
  <si>
    <t>CF78058104VJAH</t>
  </si>
  <si>
    <r>
      <rPr>
        <sz val="12"/>
        <rFont val="Book Antiqua"/>
        <family val="1"/>
      </rPr>
      <t>Senior Assistant Accoun</t>
    </r>
    <r>
      <rPr>
        <sz val="12"/>
        <color indexed="36"/>
        <rFont val="Book Antiqua"/>
        <family val="1"/>
      </rPr>
      <t>tant</t>
    </r>
  </si>
  <si>
    <t>SHALLON R KABARUNGI</t>
  </si>
  <si>
    <t>CF8303410284KF</t>
  </si>
  <si>
    <t>Assistant Inventory Management Officer</t>
  </si>
  <si>
    <t>AMANGU JOSEPH</t>
  </si>
  <si>
    <t>CM74002100JHCA</t>
  </si>
  <si>
    <t>MONICA NAYEBARE</t>
  </si>
  <si>
    <t>CF82065103QDTA</t>
  </si>
  <si>
    <t>PROSSY NAMULINDWA</t>
  </si>
  <si>
    <t>CF85023102TPRE</t>
  </si>
  <si>
    <t>SARAH NAMBALIRWA</t>
  </si>
  <si>
    <t>CF9702319L3ZJ</t>
  </si>
  <si>
    <t>TUGUMISIRIZE EDWARD</t>
  </si>
  <si>
    <t>CM730091001HFL</t>
  </si>
  <si>
    <t>JUMBA ABASI</t>
  </si>
  <si>
    <t>CM75098101WURD</t>
  </si>
  <si>
    <t>MUBIRU PAUL</t>
  </si>
  <si>
    <t>CM70068103YK7F</t>
  </si>
  <si>
    <t>GALABUZI JOHN</t>
  </si>
  <si>
    <t>CM71052109WFNC</t>
  </si>
  <si>
    <t>LUBEGA LIVINGSTONE</t>
  </si>
  <si>
    <t>CM69052109UAAF</t>
  </si>
  <si>
    <t>KATAMBA WILSON</t>
  </si>
  <si>
    <t>CM6705210EHWAK</t>
  </si>
  <si>
    <t>FRED  KAVUMA</t>
  </si>
  <si>
    <t>CM69032100WYCE</t>
  </si>
  <si>
    <t>ORINYO MILTON</t>
  </si>
  <si>
    <t>CM70035102A1UE</t>
  </si>
  <si>
    <t>DRAKUMAH TEPHELOUSON</t>
  </si>
  <si>
    <t>CM71002104KC8J</t>
  </si>
  <si>
    <t>EBIAU MICHAEL</t>
  </si>
  <si>
    <t>CM84038101DNKJ</t>
  </si>
  <si>
    <t>JUSTINE UYUBRU</t>
  </si>
  <si>
    <t>CM84033100NW2K</t>
  </si>
  <si>
    <t>TOTAL ADMINISTRATIVE STAFF NARL</t>
  </si>
  <si>
    <t>GRAND TOTAL FOR NARL</t>
  </si>
  <si>
    <t>NATIONAL CROPS RESOURCES RESEARCH INSTITUTE</t>
  </si>
  <si>
    <t>UR 2(i)RS</t>
  </si>
  <si>
    <t>NaCRRI</t>
  </si>
  <si>
    <t>CF62032104WFAK</t>
  </si>
  <si>
    <t>GODFREY  ASEA</t>
  </si>
  <si>
    <t>CM72002103A9KK</t>
  </si>
  <si>
    <t>CM7900210ECMFK</t>
  </si>
  <si>
    <t>MILTON  OTEMA ANYANGA</t>
  </si>
  <si>
    <t>CM70086100ZYTD</t>
  </si>
  <si>
    <t>WILLIAMS  ESUMA</t>
  </si>
  <si>
    <t>CM8400210364EF</t>
  </si>
  <si>
    <t>ENOCH WEMBABAZI</t>
  </si>
  <si>
    <t>CM86006106A96K</t>
  </si>
  <si>
    <t>IMMACULATE  MUGISA</t>
  </si>
  <si>
    <t>CF81033102YKVF</t>
  </si>
  <si>
    <t>AGNES  ALAJO</t>
  </si>
  <si>
    <t>CF640581044AKJ</t>
  </si>
  <si>
    <t>RACHEAL  GWOKYALYA</t>
  </si>
  <si>
    <t>CF85012104143H</t>
  </si>
  <si>
    <t>GERESEMU  OMUUT</t>
  </si>
  <si>
    <t>CM93035104PXUJ</t>
  </si>
  <si>
    <t>GAUDENSIA  NAKIMERA</t>
  </si>
  <si>
    <t>CF88045100E98D</t>
  </si>
  <si>
    <t>FLORENCE  NAKASUJJA</t>
  </si>
  <si>
    <t>CF910231081HZD</t>
  </si>
  <si>
    <t xml:space="preserve">CEREALS RESEARCH PROGRAMME </t>
  </si>
  <si>
    <t>JIMMY  LAMO</t>
  </si>
  <si>
    <t>CM650761022F5E</t>
  </si>
  <si>
    <t>CHARLES KASOZI LWANGA</t>
  </si>
  <si>
    <t>CM70052107GVYG</t>
  </si>
  <si>
    <t>ARTHUR  WASUKIRA</t>
  </si>
  <si>
    <t>CM7705110177YF</t>
  </si>
  <si>
    <t>ADUR STELLA OKELLO EVERLINE</t>
  </si>
  <si>
    <t>CF78086100LV3A</t>
  </si>
  <si>
    <t>SIMON  ALIBU</t>
  </si>
  <si>
    <t>CM77054103XPYG</t>
  </si>
  <si>
    <t>DANIEL BOMET KWEMOI</t>
  </si>
  <si>
    <t>CM840591022JHG</t>
  </si>
  <si>
    <t>JULIUS  MASANYU</t>
  </si>
  <si>
    <t>CM73009100RNAK</t>
  </si>
  <si>
    <t>BARWOGEZA MARGRET</t>
  </si>
  <si>
    <t>CF73025102057G</t>
  </si>
  <si>
    <t>SOLOMON  KABOYO BARUNGI</t>
  </si>
  <si>
    <t>CM670251021QQA</t>
  </si>
  <si>
    <t>JONAH  SSEMWOGERERE</t>
  </si>
  <si>
    <t>CM87068101FOPL</t>
  </si>
  <si>
    <t>JANE  ALUPO</t>
  </si>
  <si>
    <t>CF67021104QPYG</t>
  </si>
  <si>
    <t>ANNET MARGARET  NAKAYIMA</t>
  </si>
  <si>
    <t>CF67041106V69D</t>
  </si>
  <si>
    <t>HORTICULTURE AND OIL PALM  RESEARCH PROGRAMME</t>
  </si>
  <si>
    <t>MICHAEL ADROGU UGEN</t>
  </si>
  <si>
    <t>CM61087101PKTK</t>
  </si>
  <si>
    <t>GABRIEL  DDAMULIRA</t>
  </si>
  <si>
    <t>CM78045102844G</t>
  </si>
  <si>
    <t>ESTHER LUGWANA NAMPEERA</t>
  </si>
  <si>
    <t>CF6805210H1QQE</t>
  </si>
  <si>
    <t>IRENE  BAYIYANA</t>
  </si>
  <si>
    <t>CF8205210511TG</t>
  </si>
  <si>
    <t>304/06/2029</t>
  </si>
  <si>
    <t>JOHN ODIPIO</t>
  </si>
  <si>
    <t>CM79002104EAIF</t>
  </si>
  <si>
    <t>ANNET NAMUDDU</t>
  </si>
  <si>
    <t>CF81052106F2PA</t>
  </si>
  <si>
    <t>IDD  RAMATHANI</t>
  </si>
  <si>
    <t>CM80010100MKAK</t>
  </si>
  <si>
    <t>ISAAC  OBONGO</t>
  </si>
  <si>
    <t>CM820971013D1L</t>
  </si>
  <si>
    <t>RACHAEL GRACE NALUGO</t>
  </si>
  <si>
    <t>CF8605210AD69L</t>
  </si>
  <si>
    <t>MAUREEN  LOGOSE</t>
  </si>
  <si>
    <t>CF69072104Q6AF</t>
  </si>
  <si>
    <t>ERASMUS  MUKIIBI</t>
  </si>
  <si>
    <t>CM720931034RVC</t>
  </si>
  <si>
    <t>PAUL  KABAYI</t>
  </si>
  <si>
    <t>CM650721018LDK</t>
  </si>
  <si>
    <t>REHEMA  NALUYIMBA</t>
  </si>
  <si>
    <t>CF730521084MRK</t>
  </si>
  <si>
    <t>RABECCA  AKULLO</t>
  </si>
  <si>
    <t>CF91022103UEFF</t>
  </si>
  <si>
    <t>LEGUMES RESEARCH PROGRAMME</t>
  </si>
  <si>
    <t xml:space="preserve">Senior Principal Research Officer                              </t>
  </si>
  <si>
    <t>MICHAEL HILARY  OTIM</t>
  </si>
  <si>
    <t>CM740881051AQD</t>
  </si>
  <si>
    <t>PAMERA  PAPARU</t>
  </si>
  <si>
    <t>CF7500210ECERG</t>
  </si>
  <si>
    <t>KIRYOWA MOSES</t>
  </si>
  <si>
    <t>CM79068108C6ZK</t>
  </si>
  <si>
    <t>ANNET  NAMAYANJA</t>
  </si>
  <si>
    <t>CF7505210GGANF</t>
  </si>
  <si>
    <t>WILBER  SSEKANDI</t>
  </si>
  <si>
    <t>CM80082107T9LG</t>
  </si>
  <si>
    <t>TAKUSEWANYA ROSE ISAAKWA</t>
  </si>
  <si>
    <t>CF65013100YQLA</t>
  </si>
  <si>
    <t>GABRIEL  LUYIMA BIRWA</t>
  </si>
  <si>
    <t>CM70052108PGUH</t>
  </si>
  <si>
    <t>JOSEPH ISAAC MUGAGGA</t>
  </si>
  <si>
    <t>CM690751056FZJ</t>
  </si>
  <si>
    <t>Research Officer</t>
  </si>
  <si>
    <t>HARRIS MUHUMUZA LUZINDA</t>
  </si>
  <si>
    <t>CM80052103AD2K</t>
  </si>
  <si>
    <t>JUDE MUGISHA ABITEGEKA</t>
  </si>
  <si>
    <t>CM85025102NXZF</t>
  </si>
  <si>
    <t>ADMINISTRATIVE SUPPORT STAFF</t>
  </si>
  <si>
    <t>TITUS T ALICAI</t>
  </si>
  <si>
    <t>CM70077103NLDK</t>
  </si>
  <si>
    <t>31/7/2028</t>
  </si>
  <si>
    <t xml:space="preserve">Principal Accountant </t>
  </si>
  <si>
    <t>HAROLD  ADIGA AMABUA</t>
  </si>
  <si>
    <t>CM80002107XVMK</t>
  </si>
  <si>
    <t>MARY  BABIRYE</t>
  </si>
  <si>
    <t>CF70032109T3ME</t>
  </si>
  <si>
    <t>AGNES  IMMALINGAT</t>
  </si>
  <si>
    <t>CF840431025ULL</t>
  </si>
  <si>
    <t>Internal Auditor</t>
  </si>
  <si>
    <t>AHABWA ALFRED</t>
  </si>
  <si>
    <t>CM72027100U96H</t>
  </si>
  <si>
    <t>Development Communication Officer</t>
  </si>
  <si>
    <t>CHRISTINE MASAMBU ELONG</t>
  </si>
  <si>
    <t>CF79089100RNHH</t>
  </si>
  <si>
    <t xml:space="preserve">Senior Assistant Accountant </t>
  </si>
  <si>
    <t>NALUMU ANNET</t>
  </si>
  <si>
    <t>CF690321050DJL</t>
  </si>
  <si>
    <t>ESTHER  AWORI</t>
  </si>
  <si>
    <t>CF91039107F99A</t>
  </si>
  <si>
    <t>30/6/2028</t>
  </si>
  <si>
    <t>CLAIRE MILDRED  AMONGIN</t>
  </si>
  <si>
    <t>CF72038105603H</t>
  </si>
  <si>
    <t>ANNE-STELLA  NAKIYENJE</t>
  </si>
  <si>
    <t>CF680681040LUG</t>
  </si>
  <si>
    <t>EVA  NALWANGA</t>
  </si>
  <si>
    <t>CF7603210571LD</t>
  </si>
  <si>
    <t>LYDIA  NAMBALIRWA NALWEYISO</t>
  </si>
  <si>
    <t>CF74068100UM1K</t>
  </si>
  <si>
    <t>GRACE  ARIGO</t>
  </si>
  <si>
    <t>CF74058103NYTG </t>
  </si>
  <si>
    <t>Electrician</t>
  </si>
  <si>
    <t>WILLIAM  BUSULWA</t>
  </si>
  <si>
    <t>CM70052104N0FC</t>
  </si>
  <si>
    <t>Plumber</t>
  </si>
  <si>
    <t>JOSEPH  TADHUBA</t>
  </si>
  <si>
    <t>CM80064101UJAC</t>
  </si>
  <si>
    <t>Mechanic</t>
  </si>
  <si>
    <t>MARTIN OGWAL OPIO</t>
  </si>
  <si>
    <t>CM75001105Y44C</t>
  </si>
  <si>
    <t>EMMANUEL  LUTWAMA</t>
  </si>
  <si>
    <t>CM72052106RWRJ</t>
  </si>
  <si>
    <t>JOHN PATRICK HADIGO</t>
  </si>
  <si>
    <t>CM69075102A8GK</t>
  </si>
  <si>
    <t>ROBERT  KALIIKA</t>
  </si>
  <si>
    <t>CM73030105GEoC</t>
  </si>
  <si>
    <t>Tractor Operator</t>
  </si>
  <si>
    <t>LAMEKA  KIKU</t>
  </si>
  <si>
    <t xml:space="preserve">ADMINISTRATION </t>
  </si>
  <si>
    <t>CM70052109XGQL</t>
  </si>
  <si>
    <t xml:space="preserve">Security Guard </t>
  </si>
  <si>
    <t>JAMES  EDOKU</t>
  </si>
  <si>
    <t>CM77054101FPUL</t>
  </si>
  <si>
    <t>JAMES  CHANDIT</t>
  </si>
  <si>
    <t>CM85087101R7GA</t>
  </si>
  <si>
    <t>DANIEL  WANYAMA</t>
  </si>
  <si>
    <t>CM91067101Z48H</t>
  </si>
  <si>
    <t>RONALD MPAGI MWEBE</t>
  </si>
  <si>
    <t>CM68052102LDPL</t>
  </si>
  <si>
    <t>VINCENT WARERE KIZITO</t>
  </si>
  <si>
    <t>CM74067100FECH</t>
  </si>
  <si>
    <t>TOTAL ADMINISTRATIVE STAFF-NaCRRI</t>
  </si>
  <si>
    <t>GRAND TOTAL FOR NaCRRI</t>
  </si>
  <si>
    <t>NATIONAL COFFEE RESEARCH INSTITUTE</t>
  </si>
  <si>
    <t>COCOA &amp; COFFEE VARIETY IMPROVEMENT &amp; MANAGEMENT PROGRAMME</t>
  </si>
  <si>
    <t>LABAN FRANK TURYAGENDA</t>
  </si>
  <si>
    <t>CM7000910FKRLD</t>
  </si>
  <si>
    <t>NaCORI</t>
  </si>
  <si>
    <t>CM83045103CGRE</t>
  </si>
  <si>
    <t>PAULINE  ALUKA</t>
  </si>
  <si>
    <t>CF64108101KZ9A</t>
  </si>
  <si>
    <t>DAPHNE NYACHAKI BITALO</t>
  </si>
  <si>
    <t>CF8501010APXZL</t>
  </si>
  <si>
    <t>MUSOLI PASCAL CHUNGASON</t>
  </si>
  <si>
    <t>CM60014102CF3F</t>
  </si>
  <si>
    <t>BETTY  MAGAMBO</t>
  </si>
  <si>
    <t>CF76006102QKRF</t>
  </si>
  <si>
    <t>JOB ALUNGA CHEMUTAI</t>
  </si>
  <si>
    <t>CM84014100FVQH</t>
  </si>
  <si>
    <t>VINCENT  KYALIGONZA</t>
  </si>
  <si>
    <t>CM810061011QPC</t>
  </si>
  <si>
    <t>NACORI</t>
  </si>
  <si>
    <t>MICHAEL KANAABI</t>
  </si>
  <si>
    <t>CM88105101YX4G</t>
  </si>
  <si>
    <t>PHILLIS  NANNUNGI</t>
  </si>
  <si>
    <t>CF80030106NFHK</t>
  </si>
  <si>
    <t xml:space="preserve">Principal Technician </t>
  </si>
  <si>
    <t>UR 5(i) RT</t>
  </si>
  <si>
    <t>ALICE  NAMBUYA</t>
  </si>
  <si>
    <t>CF670261078KQH</t>
  </si>
  <si>
    <t>Senior Technician</t>
  </si>
  <si>
    <t>UR 5(ii) RT</t>
  </si>
  <si>
    <t>EBONG GEOFFREY OPYENE</t>
  </si>
  <si>
    <t>CM66001105WXRC</t>
  </si>
  <si>
    <t>GLORIA  MUTONYI</t>
  </si>
  <si>
    <t>CF89068105M0AH</t>
  </si>
  <si>
    <t>Technician</t>
  </si>
  <si>
    <t>KWAKA LORNA WINNIE</t>
  </si>
  <si>
    <t>CF88026107ALAA</t>
  </si>
  <si>
    <t>KAGEZI GODFREY HURBBY</t>
  </si>
  <si>
    <t>CM681001041P3G</t>
  </si>
  <si>
    <t>UR 4 RS</t>
  </si>
  <si>
    <t>SAMMY  OLAL</t>
  </si>
  <si>
    <t>CM670051031DXC</t>
  </si>
  <si>
    <t>CM79052103HA6H</t>
  </si>
  <si>
    <t>HENRY  WAGABA</t>
  </si>
  <si>
    <t>CM80068107YEXL</t>
  </si>
  <si>
    <t>OLANGO NICHOLAS DAVID</t>
  </si>
  <si>
    <t>CM80110100X0DG</t>
  </si>
  <si>
    <t>DAVID  AKODI</t>
  </si>
  <si>
    <t>CM87001103NPNE</t>
  </si>
  <si>
    <t>ARNOLD KATUNGISA</t>
  </si>
  <si>
    <t>CM890271023HRF</t>
  </si>
  <si>
    <t>CF79026108AXPA</t>
  </si>
  <si>
    <t>JOSEPH  MULINDWA</t>
  </si>
  <si>
    <t>CM85031101D3RF</t>
  </si>
  <si>
    <t>EVANS ATWIJUKIRE</t>
  </si>
  <si>
    <t>CM9010610569PXH</t>
  </si>
  <si>
    <t>SUB-TOTAL TECHNICAL STAFF - NACORI</t>
  </si>
  <si>
    <t>Director of Research</t>
  </si>
  <si>
    <t>GEOFREY  ARINAITWE</t>
  </si>
  <si>
    <t>CM67004102P99J</t>
  </si>
  <si>
    <t>DEBORAH IROTU EYOKU</t>
  </si>
  <si>
    <t>CF730581056NDK</t>
  </si>
  <si>
    <t>Senior Human Resource &amp; Administrative Officer</t>
  </si>
  <si>
    <t>TWINOMUHANGI GEORGE</t>
  </si>
  <si>
    <t>CM77112100WNCA</t>
  </si>
  <si>
    <t>EVACE  KORUGYENDO</t>
  </si>
  <si>
    <t>CF66009103N8XD</t>
  </si>
  <si>
    <t>ABASERET CECILIA</t>
  </si>
  <si>
    <t>CF680211031F2H</t>
  </si>
  <si>
    <t xml:space="preserve">Development Communication Officer </t>
  </si>
  <si>
    <t>BARBARA  NAMBOZO</t>
  </si>
  <si>
    <t>CF81026100YFJC</t>
  </si>
  <si>
    <t>SSENOGA GYAVIIRA</t>
  </si>
  <si>
    <t>CM87099103T6ZC</t>
  </si>
  <si>
    <t>DUKU MARGARET LOI</t>
  </si>
  <si>
    <t>CF68015103JN9F</t>
  </si>
  <si>
    <t>MASINDE EDDIE OCHIENG</t>
  </si>
  <si>
    <t>CM78042102PMCL</t>
  </si>
  <si>
    <t>ROSE MARY  NAMUTEBI</t>
  </si>
  <si>
    <t>CF92068100PUUD</t>
  </si>
  <si>
    <t>NAKISITU MARTHA</t>
  </si>
  <si>
    <t>CF93099104DFGK</t>
  </si>
  <si>
    <t>PAUL  MUKUNYA</t>
  </si>
  <si>
    <t>CM74064102HVFE</t>
  </si>
  <si>
    <t>EDWARD  MAKADDA</t>
  </si>
  <si>
    <t>CM84051100EO8L</t>
  </si>
  <si>
    <t>PATRICK  BWIRE</t>
  </si>
  <si>
    <t>CM80042100ZWWA</t>
  </si>
  <si>
    <t>UR7</t>
  </si>
  <si>
    <t>KIMERA EMMANUEL</t>
  </si>
  <si>
    <t>CM74032105ZZTE</t>
  </si>
  <si>
    <t>TITUS  OTOBA</t>
  </si>
  <si>
    <t>CM82097101WTCL</t>
  </si>
  <si>
    <t>SUB-TOTAL ADMINISTRATIVE STAFF - NACORI</t>
  </si>
  <si>
    <t>GRAND TOTAL FOR NaCORI</t>
  </si>
  <si>
    <t>NATIONAL FOREST  RESOURCES RESEARCH INSTITUTE</t>
  </si>
  <si>
    <t>FORESTRY CONSERVATION AND MANAGEMENT</t>
  </si>
  <si>
    <t>ISAAC  KIYINGI</t>
  </si>
  <si>
    <t>CM74032102JHLA</t>
  </si>
  <si>
    <t>NaFORRI</t>
  </si>
  <si>
    <t>BYABASHAIJA DENIS MUJUNI</t>
  </si>
  <si>
    <t>CM650341031D5J</t>
  </si>
  <si>
    <t>UR4RS</t>
  </si>
  <si>
    <t>RONALD  KISEKKA</t>
  </si>
  <si>
    <t>CM87068107VHLK</t>
  </si>
  <si>
    <t>DAVID OCAMA KISSA</t>
  </si>
  <si>
    <t>CM7603310811RG</t>
  </si>
  <si>
    <t>Senior Principal Technician</t>
  </si>
  <si>
    <t>SAMUEL VINCENT  ONGEREP</t>
  </si>
  <si>
    <t>CM73079101VNLC</t>
  </si>
  <si>
    <t>BERNADETTE  KABONESA</t>
  </si>
  <si>
    <t>CF730061016JLE</t>
  </si>
  <si>
    <t>MASIBO MIRIAM GISUJJE</t>
  </si>
  <si>
    <t>CF81026105659D</t>
  </si>
  <si>
    <t>EMILLY  KAMUSIIME</t>
  </si>
  <si>
    <t>CF740091035W7J</t>
  </si>
  <si>
    <t>MUSIIMENTA SARAH</t>
  </si>
  <si>
    <t>CF78032107V7PH</t>
  </si>
  <si>
    <t>KALIMUNJAYE SAMUEL</t>
  </si>
  <si>
    <t>CM731021038NUH</t>
  </si>
  <si>
    <t>TREE IMPROVEMENT AND GERMPLASM RESEARCH PROGRAMM</t>
  </si>
  <si>
    <t>JULIUS  MUKALAZI</t>
  </si>
  <si>
    <t>CM670161052Z2C</t>
  </si>
  <si>
    <t>SAMSON  GWALI</t>
  </si>
  <si>
    <t>CM67035104EP1K</t>
  </si>
  <si>
    <t>CF81036102J6YH</t>
  </si>
  <si>
    <t>UR 5(i) RS</t>
  </si>
  <si>
    <t>GRACE  ABIGABA</t>
  </si>
  <si>
    <t>CF730061012J2K</t>
  </si>
  <si>
    <t>JUVENTINE BOAZ ODOI</t>
  </si>
  <si>
    <t>CM74039107A6QC</t>
  </si>
  <si>
    <t>RICHARD  OLUK</t>
  </si>
  <si>
    <t>CM67021100YJQA</t>
  </si>
  <si>
    <t>SCOVIA  MUDONDO</t>
  </si>
  <si>
    <t>CF87102102WLAJ</t>
  </si>
  <si>
    <t xml:space="preserve">FOREST PRODUCTS AND SERVICES </t>
  </si>
  <si>
    <t>CF80018101W27C</t>
  </si>
  <si>
    <t>CM79052103UTYA</t>
  </si>
  <si>
    <t>DIANA  NAMAYANJA</t>
  </si>
  <si>
    <t>CF 8309810298RF.</t>
  </si>
  <si>
    <t>CF83007102WZEE</t>
  </si>
  <si>
    <t>NAMUYANJA VIOLET MIREMBE</t>
  </si>
  <si>
    <t>CF850231014CNA</t>
  </si>
  <si>
    <t>DAN  KAZIGABA</t>
  </si>
  <si>
    <t>CM72009100V6CA</t>
  </si>
  <si>
    <t>AGROFORESTRY RESEARCH PROGRAM</t>
  </si>
  <si>
    <t>BERNARD  FUNGO LUKOYE</t>
  </si>
  <si>
    <t>CM79067101UU7F</t>
  </si>
  <si>
    <t>CM82044103MDLF</t>
  </si>
  <si>
    <t>SUSAN  NANSEREKO</t>
  </si>
  <si>
    <t>CF78100102265L</t>
  </si>
  <si>
    <t>JUDE  SEKATUBA</t>
  </si>
  <si>
    <t>CM7202310926QF</t>
  </si>
  <si>
    <t>CHARLES  GALABUZI</t>
  </si>
  <si>
    <t>CM780521081XOJ</t>
  </si>
  <si>
    <t>GERALD  ONGODIA</t>
  </si>
  <si>
    <t>CM72108103VNVJ</t>
  </si>
  <si>
    <t>RICHARD  AKELLEM</t>
  </si>
  <si>
    <t>CM73021103CK9A</t>
  </si>
  <si>
    <t>KENNETH  ERYAU</t>
  </si>
  <si>
    <t>CM80111100UVHD</t>
  </si>
  <si>
    <t>PHIONA  KWAGA</t>
  </si>
  <si>
    <t>CF890511016GVE</t>
  </si>
  <si>
    <t>SUB-TOTAL TECHNICAL STAFF - NaFORRI</t>
  </si>
  <si>
    <t>ADMINISTRATIVE</t>
  </si>
  <si>
    <t>JOHN  ADRIKO</t>
  </si>
  <si>
    <t>CM77002109MK8K</t>
  </si>
  <si>
    <t>GEOFFREY  NGEREJAHO</t>
  </si>
  <si>
    <t>CM76018101NFXC</t>
  </si>
  <si>
    <t>AKURUT NORAH</t>
  </si>
  <si>
    <t>CF690581052C8C</t>
  </si>
  <si>
    <t>30/06/208</t>
  </si>
  <si>
    <t>ESTHER HARRIET ATIM</t>
  </si>
  <si>
    <t>CF77001103V59J</t>
  </si>
  <si>
    <t>NAKIBUULE MARTHA KADDU KASUMBA</t>
  </si>
  <si>
    <t>CF67030101KDWF</t>
  </si>
  <si>
    <t xml:space="preserve">Senior Procurement Officer </t>
  </si>
  <si>
    <t>CHRISTINE  TWINAMATSIKO</t>
  </si>
  <si>
    <t>CF8603410704XJ</t>
  </si>
  <si>
    <t>MARTINA TEDDY OMONGO</t>
  </si>
  <si>
    <t>CF83103104ENNL</t>
  </si>
  <si>
    <t>MARK  MUBEEZI</t>
  </si>
  <si>
    <t>CM8700610702DF</t>
  </si>
  <si>
    <t>JULIET  NAMUSUUBO</t>
  </si>
  <si>
    <t>CF78041102JFXE</t>
  </si>
  <si>
    <t>JUSTINE  NAMAYANJA</t>
  </si>
  <si>
    <t>CF87036105JRVA</t>
  </si>
  <si>
    <t>Senior Adminstrative Assistant Grade.I</t>
  </si>
  <si>
    <t>NAMAGEMBE GLADYS KAYANJA</t>
  </si>
  <si>
    <t>CF83052102EHEC</t>
  </si>
  <si>
    <t>Carpenter</t>
  </si>
  <si>
    <t xml:space="preserve">UR 7 </t>
  </si>
  <si>
    <t>EDISON  AMOU</t>
  </si>
  <si>
    <t>CM75108103W63K</t>
  </si>
  <si>
    <t>JOHN  OMAGOR</t>
  </si>
  <si>
    <t>CM68108100L7PL</t>
  </si>
  <si>
    <t>ELIJAH  SSEBADDUKA</t>
  </si>
  <si>
    <t>CM870321015P9J</t>
  </si>
  <si>
    <t>JALIA SEGUYA NABASIRYE</t>
  </si>
  <si>
    <t>CF71023104Y8TA</t>
  </si>
  <si>
    <t>Nursery Attendant</t>
  </si>
  <si>
    <t>KIIZA ROBERT</t>
  </si>
  <si>
    <t>CM74106102JQDC</t>
  </si>
  <si>
    <t>DAVID  MUGENI</t>
  </si>
  <si>
    <t>CM73042102Q6KJ</t>
  </si>
  <si>
    <t>APOLOT  BETTY</t>
  </si>
  <si>
    <t>CF69079101AW2F</t>
  </si>
  <si>
    <t>JAMES  KAPERE</t>
  </si>
  <si>
    <t>CM73102102X8PF</t>
  </si>
  <si>
    <t>NATIONAL FISHERIES RESOURCES RESEARCH INSTITUTE</t>
  </si>
  <si>
    <t>FISH HABITAT MANAGEMENT</t>
  </si>
  <si>
    <t xml:space="preserve"> Principal Research Officer</t>
  </si>
  <si>
    <t>NaFIRRI</t>
  </si>
  <si>
    <t>PAUL OKULLO</t>
  </si>
  <si>
    <t>CM83032108QW4E</t>
  </si>
  <si>
    <t>WANDA FRED MASIFWA</t>
  </si>
  <si>
    <t>CM63026103T2PL</t>
  </si>
  <si>
    <t>ROBERT  EGESSA</t>
  </si>
  <si>
    <t>CM83095101VWPE</t>
  </si>
  <si>
    <t>ANGELA  NANKABIRWA</t>
  </si>
  <si>
    <t>CF90052109DMTJ</t>
  </si>
  <si>
    <t>HENRY  OCAYA</t>
  </si>
  <si>
    <t>CM67033108EZ2L</t>
  </si>
  <si>
    <t>PABIRE WILLY GANDHI</t>
  </si>
  <si>
    <t>CM69060103HP5A</t>
  </si>
  <si>
    <t>CAPTURE FISHERIES AND BIODIVERSITY CONSERVATION</t>
  </si>
  <si>
    <t>SEKIRANDA STEPHEN</t>
  </si>
  <si>
    <t>CM73068103PFGH</t>
  </si>
  <si>
    <t xml:space="preserve"> </t>
  </si>
  <si>
    <t>LABAN  MUSINGUZI</t>
  </si>
  <si>
    <t>CM880181043LAD</t>
  </si>
  <si>
    <t>Marine Engineer</t>
  </si>
  <si>
    <t>Marine Captain</t>
  </si>
  <si>
    <t>EDWARD  MUTALWA</t>
  </si>
  <si>
    <t>CM66064103VXLL</t>
  </si>
  <si>
    <t>HERBERT  NAKIYENDE</t>
  </si>
  <si>
    <t>CM82013103NANK</t>
  </si>
  <si>
    <t>First Officer</t>
  </si>
  <si>
    <t>MONIC  NSEGA</t>
  </si>
  <si>
    <t>CF69083104DZAD</t>
  </si>
  <si>
    <t>MUHUMUZA ELIAS KABURUKU</t>
  </si>
  <si>
    <t>CM68004102D53D</t>
  </si>
  <si>
    <t>Marine Technician</t>
  </si>
  <si>
    <t>UR 6 RT</t>
  </si>
  <si>
    <t>MOSES  OKWAKOL</t>
  </si>
  <si>
    <t>CM76097104F9HC</t>
  </si>
  <si>
    <t>GERTRUDE  ATUKUNDA</t>
  </si>
  <si>
    <t>CF60027109TM5H</t>
  </si>
  <si>
    <t>MBILINGI  BWAMBALE</t>
  </si>
  <si>
    <t>CM79015106K1PJ</t>
  </si>
  <si>
    <t>AKUMU JOYCE KABALI</t>
  </si>
  <si>
    <t>CF670331036F4E</t>
  </si>
  <si>
    <t xml:space="preserve">AQUACULTURE RESEARCH AND DEVELOPMENT CENTRE </t>
  </si>
  <si>
    <t>MARGARET  AANYU</t>
  </si>
  <si>
    <t>CF740581052ZWK</t>
  </si>
  <si>
    <t>JOHN K.  WALAKIRA</t>
  </si>
  <si>
    <t>CM69012102KL4A</t>
  </si>
  <si>
    <t>CASSIUS  ARUHO</t>
  </si>
  <si>
    <t>CM740611016G8K</t>
  </si>
  <si>
    <t>PAPIUS DIAS TIBIHIKA</t>
  </si>
  <si>
    <t>CM76018102KX1E</t>
  </si>
  <si>
    <t>MARK  OLOKOTUM</t>
  </si>
  <si>
    <t>CM870011050H4L</t>
  </si>
  <si>
    <t>DENIS  OPIO</t>
  </si>
  <si>
    <t>CM71005103HJTH</t>
  </si>
  <si>
    <t>CATHERINE  AGOE</t>
  </si>
  <si>
    <t>CF84021100TFRK</t>
  </si>
  <si>
    <t>RICHARD  DDUNGU</t>
  </si>
  <si>
    <t>CM89052103H8HD</t>
  </si>
  <si>
    <t>EGULANCE MBOIZI GANDA</t>
  </si>
  <si>
    <t>CF70102103LPNH</t>
  </si>
  <si>
    <t>NAKASIGA LYDIA VONNIE</t>
  </si>
  <si>
    <t>CF8405210HDYCE</t>
  </si>
  <si>
    <t>TOTAL TECHNICAL STAFF - NaFIRRI</t>
  </si>
  <si>
    <t>NALUKENGE WINIFRED NKALUBO</t>
  </si>
  <si>
    <t>CF77024106QXZH</t>
  </si>
  <si>
    <t>HERBERT  KIIRYA</t>
  </si>
  <si>
    <t>CM770641010VND</t>
  </si>
  <si>
    <t>ANNET NTUHE ASIIMWE</t>
  </si>
  <si>
    <t>CF7400910511CE</t>
  </si>
  <si>
    <t>AMIGO AMB WILLIAMS</t>
  </si>
  <si>
    <t>CM75002103ADDF</t>
  </si>
  <si>
    <t xml:space="preserve">HUDSON SEVVUME </t>
  </si>
  <si>
    <t>CM71052101LV9A</t>
  </si>
  <si>
    <t>ALICE  EZURU ENDRA</t>
  </si>
  <si>
    <t>CF7400210591JJ</t>
  </si>
  <si>
    <t>ANDREW  SSEMPIJJA</t>
  </si>
  <si>
    <t>CM91052109WNRL</t>
  </si>
  <si>
    <t>ALICE  NABAKOOZA</t>
  </si>
  <si>
    <t>CF7405210EP1TE</t>
  </si>
  <si>
    <t>HARRIET  ASEKENYE EROKU</t>
  </si>
  <si>
    <t>CF74108100C6QA</t>
  </si>
  <si>
    <t>GILBERT  OMUSANA</t>
  </si>
  <si>
    <t>CM810211041TNK</t>
  </si>
  <si>
    <t>TABURA KAKURU FRANK-RWABWERA</t>
  </si>
  <si>
    <t>CM6906510461AA</t>
  </si>
  <si>
    <t>ROBERT  BYARUHANGA</t>
  </si>
  <si>
    <t>CM760041039AQA</t>
  </si>
  <si>
    <t>VICENT  BAGAGA</t>
  </si>
  <si>
    <t>CM71013100P5JD</t>
  </si>
  <si>
    <t>MUKASA KOSIA MAGEZI</t>
  </si>
  <si>
    <t>CM700941005CED</t>
  </si>
  <si>
    <t>KALYOWA ROGERS</t>
  </si>
  <si>
    <t>HERBERT  MUGABE</t>
  </si>
  <si>
    <t>AQUACULTURE RDC</t>
  </si>
  <si>
    <t>Senior Administrative Assistant Grade.II</t>
  </si>
  <si>
    <t>ANNET  KIGGUNDU</t>
  </si>
  <si>
    <t>CF690521058LKA</t>
  </si>
  <si>
    <t>NAABUKERA FAUSTA</t>
  </si>
  <si>
    <t>CF71052102U48L</t>
  </si>
  <si>
    <t>NAKIWALA HIRRA SANYU</t>
  </si>
  <si>
    <t>CF860241015EKK</t>
  </si>
  <si>
    <t>PETER  SSENYONJO</t>
  </si>
  <si>
    <t>CM7505210FDTMC</t>
  </si>
  <si>
    <t>ANNET NAKABUGO NABAGALA</t>
  </si>
  <si>
    <t>CF7705210D8VKE</t>
  </si>
  <si>
    <t>MILTON  KUGONZA</t>
  </si>
  <si>
    <t>CM67025101Y1HF</t>
  </si>
  <si>
    <t>Capture Fisheries</t>
  </si>
  <si>
    <t>HARRIET GRACE  NAKYAJJA</t>
  </si>
  <si>
    <t>CF7605210CWJAL</t>
  </si>
  <si>
    <t>Coxswain/Deckhand</t>
  </si>
  <si>
    <t>MUSANA HAKIM TEBESIGWA</t>
  </si>
  <si>
    <t>CM85095101Q74A</t>
  </si>
  <si>
    <t>MUKOSE SALIM</t>
  </si>
  <si>
    <t>CM67008100LJEF</t>
  </si>
  <si>
    <t>TOTAL ADMINISTRATIVE - NaFIRRI</t>
  </si>
  <si>
    <t>GRAND TOTAL FOR NAFIRRI</t>
  </si>
  <si>
    <t>NATIONAL LIVESTOCK RESOURCES RESEARCH INSTITUTE</t>
  </si>
  <si>
    <t>DIARY RESEARCH PROGRAMM</t>
  </si>
  <si>
    <t>Senior Research officer</t>
  </si>
  <si>
    <t>MOSES  MATOVU</t>
  </si>
  <si>
    <t>CM77023109DQGD</t>
  </si>
  <si>
    <t>NaLIRRI</t>
  </si>
  <si>
    <t>30/06/2028</t>
  </si>
  <si>
    <t>ROBERT  MWESIGWA</t>
  </si>
  <si>
    <t>CM81016100UHRJ</t>
  </si>
  <si>
    <t>NAKIGANDA ANNUCIATE NAMUGANGA</t>
  </si>
  <si>
    <t>CF65030101GLVL</t>
  </si>
  <si>
    <t>JIMMY  SEMAKULA</t>
  </si>
  <si>
    <t>CM80091103KWJE</t>
  </si>
  <si>
    <t>ALLEN  MOLLY</t>
  </si>
  <si>
    <t>CF8601510CHCGJ</t>
  </si>
  <si>
    <t>TIMOTHY  KASULE</t>
  </si>
  <si>
    <t>CM85047100G4EL</t>
  </si>
  <si>
    <t>ZIWENA  NANTONGO</t>
  </si>
  <si>
    <t>CF85032105UYWG</t>
  </si>
  <si>
    <t>CHARLES  BUKENYA</t>
  </si>
  <si>
    <t>CM90044102Q83G</t>
  </si>
  <si>
    <t>ROBINAH GETRUDE NABUKALU</t>
  </si>
  <si>
    <t>CF87023101FEYH</t>
  </si>
  <si>
    <t>KELVIN JOHN ASIKU</t>
  </si>
  <si>
    <t>CM82077100QMWG</t>
  </si>
  <si>
    <t>JUSTUS  RUTAISIRE</t>
  </si>
  <si>
    <t>CM640061059DGH</t>
  </si>
  <si>
    <t>FREDRICK  KABI</t>
  </si>
  <si>
    <t>CM69007105HTHG</t>
  </si>
  <si>
    <t>TONNY  KABUUKA</t>
  </si>
  <si>
    <t>CM8205210E3YFA</t>
  </si>
  <si>
    <t>SUSAN DIANA  KERFUA</t>
  </si>
  <si>
    <t>CF820871060M5A</t>
  </si>
  <si>
    <t>CHARLES  NDAWULA</t>
  </si>
  <si>
    <t>CM81082105AZ7L</t>
  </si>
  <si>
    <t>JOHN BOSCO OMONY</t>
  </si>
  <si>
    <t>CM74063100THYJ</t>
  </si>
  <si>
    <t xml:space="preserve">Research  </t>
  </si>
  <si>
    <t>31/12/2028</t>
  </si>
  <si>
    <t>PAUL SSAJAKAMBWE</t>
  </si>
  <si>
    <t>CM80100105NXRA</t>
  </si>
  <si>
    <t>PAUL DAVIES KASAIJA</t>
  </si>
  <si>
    <t>CM810101099NUD</t>
  </si>
  <si>
    <t>PATRICK  EMUDONG</t>
  </si>
  <si>
    <t>CM770211027ZAK</t>
  </si>
  <si>
    <t>RICHARD MUMALI KABAKA</t>
  </si>
  <si>
    <t>CM86016101UVUF</t>
  </si>
  <si>
    <t>ENTOMOLOGY RESEACH PROGRAM</t>
  </si>
  <si>
    <t>PATRICE  KASANGAKI</t>
  </si>
  <si>
    <t>CM73092100VYDD</t>
  </si>
  <si>
    <t>OTIM AGNES</t>
  </si>
  <si>
    <t>CF72035106R81L</t>
  </si>
  <si>
    <t>CHEMUROT MOSES</t>
  </si>
  <si>
    <t>CM81104100CEME</t>
  </si>
  <si>
    <t>ABILA PATRICK P'ODYEK</t>
  </si>
  <si>
    <t>CM73022102VULC</t>
  </si>
  <si>
    <t>BEEF RESEARCH PROGRAM</t>
  </si>
  <si>
    <t>WILLIAM  NANYEENYA-NTEGE</t>
  </si>
  <si>
    <t>CM61052104VJDH</t>
  </si>
  <si>
    <t>SSERUMAGA JULIUS PYTON</t>
  </si>
  <si>
    <t>CM81069104Y4GE</t>
  </si>
  <si>
    <t>GODFREY  NSEREKO</t>
  </si>
  <si>
    <t>CM72030105GQPC</t>
  </si>
  <si>
    <t>JAMES  BUGEZA</t>
  </si>
  <si>
    <t>CM7505210A2KYK</t>
  </si>
  <si>
    <t>DENIS  ASIZUA</t>
  </si>
  <si>
    <t>CM80077102NUDC</t>
  </si>
  <si>
    <t>HUSSEIN KATO WALUSIMBI</t>
  </si>
  <si>
    <t>CM69032101VX8K</t>
  </si>
  <si>
    <t>LIVINGSTONE  SSERWANJA</t>
  </si>
  <si>
    <t>CM7306910180KC</t>
  </si>
  <si>
    <t>STEPHEN  KAYIWA</t>
  </si>
  <si>
    <t>CM68024101PY4L</t>
  </si>
  <si>
    <t>FAITWA  WALUGEMBE</t>
  </si>
  <si>
    <t>CM90100100Z80K</t>
  </si>
  <si>
    <t>JESCA  NAKAYIMA</t>
  </si>
  <si>
    <t>CF7603610AX3AK</t>
  </si>
  <si>
    <t>ALICE LITTA MULONDO</t>
  </si>
  <si>
    <t>CF681021041T1K</t>
  </si>
  <si>
    <t>HERBERT  DALINYA</t>
  </si>
  <si>
    <t>CM8906810605MJ</t>
  </si>
  <si>
    <t>MAJALIJA SAMUEL</t>
  </si>
  <si>
    <t>CM670251022TDG</t>
  </si>
  <si>
    <t>26-4-1967</t>
  </si>
  <si>
    <t>Principal Human Resource &amp; Administrative Officer</t>
  </si>
  <si>
    <t>JUSTINE  WAIBALE NABIRYE</t>
  </si>
  <si>
    <t>CF690411048WQK</t>
  </si>
  <si>
    <t>ALI  OLOKA</t>
  </si>
  <si>
    <t>CM68072101Y6DD</t>
  </si>
  <si>
    <t>OKOTH OCHWO RICHARD STEVEN</t>
  </si>
  <si>
    <t>CM70039108NZXJ</t>
  </si>
  <si>
    <t>ROGERS GERALD KASHAIJA</t>
  </si>
  <si>
    <t>CM780271082JCD</t>
  </si>
  <si>
    <t>WINNIEFRED  NANTEZA</t>
  </si>
  <si>
    <t>CF870121018V4F</t>
  </si>
  <si>
    <t>FRANCIS SSENTUMBWE</t>
  </si>
  <si>
    <t>CM76069104DMPG</t>
  </si>
  <si>
    <t>MARIA GRACE NAKABUYE</t>
  </si>
  <si>
    <t>CF930521046TGA</t>
  </si>
  <si>
    <t>REBECCA  NANDUDU</t>
  </si>
  <si>
    <t>CF80026107MQDH</t>
  </si>
  <si>
    <t>BERNADETTE MARY NALWANGA</t>
  </si>
  <si>
    <t>CF74032100PYEC</t>
  </si>
  <si>
    <t>LEONE AGNES NAMUYONJA</t>
  </si>
  <si>
    <t>CF94036102RDLL</t>
  </si>
  <si>
    <t>WILLY  BARONGO</t>
  </si>
  <si>
    <t>CM75006105LMEG</t>
  </si>
  <si>
    <t>HENRY  SEMPAGALA</t>
  </si>
  <si>
    <t>CM7202710568XJ</t>
  </si>
  <si>
    <t>MUYINDA JONATHAN NATHAN</t>
  </si>
  <si>
    <t>CM81008106WA5J</t>
  </si>
  <si>
    <t>30/12/2028</t>
  </si>
  <si>
    <t>ROBERT  WABYANGA</t>
  </si>
  <si>
    <t>CM770391006UWJ</t>
  </si>
  <si>
    <t>TOM  OKIRING</t>
  </si>
  <si>
    <t>CM76035104MMQK</t>
  </si>
  <si>
    <t>UR8</t>
  </si>
  <si>
    <t>CHRISTINE  NALWEYISO</t>
  </si>
  <si>
    <t>CF87030104DGRF</t>
  </si>
  <si>
    <t>STEPHEN  BUSIIMA</t>
  </si>
  <si>
    <t>CM75039104UZ7E</t>
  </si>
  <si>
    <t>CHARLES  WAKIMWAI</t>
  </si>
  <si>
    <t>CM53039106PEPC</t>
  </si>
  <si>
    <t>GRAND TOTAL FOR NALIRRI</t>
  </si>
  <si>
    <t>NATIONAL SEMI-ARID RESOURCES RESEARCH INSTITUTE</t>
  </si>
  <si>
    <t>OIL CROPS RESEARCH PROGRAMME</t>
  </si>
  <si>
    <t>NaSARRI</t>
  </si>
  <si>
    <t>PAUL  ANGURIA</t>
  </si>
  <si>
    <t>CM69079100A3QJ</t>
  </si>
  <si>
    <t>30.06.2023</t>
  </si>
  <si>
    <t>30.06.2028</t>
  </si>
  <si>
    <t>SOPHIA  HAMBA</t>
  </si>
  <si>
    <t>CF80082107VYNL</t>
  </si>
  <si>
    <t>BEATRICE  SADINA</t>
  </si>
  <si>
    <t>CF85066100REEH</t>
  </si>
  <si>
    <t>01.07.2024</t>
  </si>
  <si>
    <t>30.06.2029</t>
  </si>
  <si>
    <t>BETTY HARRIET ALEPO</t>
  </si>
  <si>
    <t>CF74058100CJGG</t>
  </si>
  <si>
    <t>SAMUEL OCHUGGA EREU</t>
  </si>
  <si>
    <t>CM79097100CPMH</t>
  </si>
  <si>
    <t>BRIAN  OMARA</t>
  </si>
  <si>
    <t>CM890221068XVH</t>
  </si>
  <si>
    <t>30.07.2024</t>
  </si>
  <si>
    <t xml:space="preserve">DRYLAND CEREALS RESEARCH PROGRAMME </t>
  </si>
  <si>
    <t>SCOVIA  ADIKINI</t>
  </si>
  <si>
    <t>CF810391098EDG</t>
  </si>
  <si>
    <t>KAKEETO RONALD</t>
  </si>
  <si>
    <t>CM78012103FJRG</t>
  </si>
  <si>
    <t>JOSEPH  OKIRING</t>
  </si>
  <si>
    <t>CM82035101C5YL</t>
  </si>
  <si>
    <t>HELLEN  OPIE</t>
  </si>
  <si>
    <t>CF79043102ZCYH</t>
  </si>
  <si>
    <t>JOSEPH ANDREW  WANDULU</t>
  </si>
  <si>
    <t>CM650511054WVD</t>
  </si>
  <si>
    <t>30.06.2018</t>
  </si>
  <si>
    <t>JOHN CHARLES ARU</t>
  </si>
  <si>
    <t>CM66097100AVLJ</t>
  </si>
  <si>
    <t>JOHN  EMANIO</t>
  </si>
  <si>
    <t>CM740971007WTD</t>
  </si>
  <si>
    <t>AITA ARNOLD ASIZUA MINDREA</t>
  </si>
  <si>
    <t>ROGGERS  GANG</t>
  </si>
  <si>
    <t>CM890711021LYF</t>
  </si>
  <si>
    <t>DRYLAND LEGUMES RESEARCH PROGRAMME</t>
  </si>
  <si>
    <t>ALEXANDER JUNIOR BOMBOM</t>
  </si>
  <si>
    <t>CM79040101GEKH</t>
  </si>
  <si>
    <t>EMMANUEL K MBEYAGALA</t>
  </si>
  <si>
    <t>CM81008106YKGA</t>
  </si>
  <si>
    <t>JOHN E OBUO</t>
  </si>
  <si>
    <t>CM65054102KKRA</t>
  </si>
  <si>
    <t>COTTON RESEARCH PROGRAMME</t>
  </si>
  <si>
    <t xml:space="preserve">Principal Research Officer                              </t>
  </si>
  <si>
    <t>MARTIN  ORAWU</t>
  </si>
  <si>
    <t>CM73035100CNPE</t>
  </si>
  <si>
    <t>JOHN PETER  TAKAN</t>
  </si>
  <si>
    <t>CM65021100APAK</t>
  </si>
  <si>
    <t>DENNIS  GAYI</t>
  </si>
  <si>
    <t>CM83052100NF5A</t>
  </si>
  <si>
    <t>GLADYS LYDIAH  AMODING</t>
  </si>
  <si>
    <t>CF78108100CQTL</t>
  </si>
  <si>
    <t>OCAN JAMES ROLAND</t>
  </si>
  <si>
    <t>CM6805410080DE</t>
  </si>
  <si>
    <t>GEORGE ROBERT OGWANG</t>
  </si>
  <si>
    <t>CM84097102QJJC</t>
  </si>
  <si>
    <t>JOHN  OLUPOT</t>
  </si>
  <si>
    <t>CM85097104052C</t>
  </si>
  <si>
    <t>ANDREW PAUL OKELLO</t>
  </si>
  <si>
    <t>CM740431006XCK</t>
  </si>
  <si>
    <t>ANIMAL RESEARCH TRACTION PROGRAM</t>
  </si>
  <si>
    <t>MARTIN BRIAN BABIGUMIRA</t>
  </si>
  <si>
    <t>CM75055106N0RG</t>
  </si>
  <si>
    <t>MUHAMMAD  KIGGUNDU</t>
  </si>
  <si>
    <t>CM85012101HYZK</t>
  </si>
  <si>
    <t>GEORGE WILLIAM EGADU</t>
  </si>
  <si>
    <t>CM74038100DN1H</t>
  </si>
  <si>
    <t>DAVID  KALULE OKELLO</t>
  </si>
  <si>
    <t>CM76050102FDDA</t>
  </si>
  <si>
    <t>EKWANG ROBERT CHARLES</t>
  </si>
  <si>
    <t>CM67022102DX6D</t>
  </si>
  <si>
    <t>ANDREW OLEGO OLUPOT</t>
  </si>
  <si>
    <t>CM74097101HV2L</t>
  </si>
  <si>
    <t>JOHN PAUL  OKAU</t>
  </si>
  <si>
    <t>CM78041104XLTK</t>
  </si>
  <si>
    <t>MUGOYA JOSHUA</t>
  </si>
  <si>
    <t>CM72026104XWFD</t>
  </si>
  <si>
    <t>Monitoring and Evaluation Officer</t>
  </si>
  <si>
    <t>CHRISTINE  AMONGIN</t>
  </si>
  <si>
    <t>CF70079100A3NE</t>
  </si>
  <si>
    <t>SIMON  MBALULE</t>
  </si>
  <si>
    <t>CM82008105QTGG</t>
  </si>
  <si>
    <t>IRENE  INEBU</t>
  </si>
  <si>
    <t>CF750971038ZJG</t>
  </si>
  <si>
    <t>MADETE HUMPHREY NAKOKO</t>
  </si>
  <si>
    <t>CM660891014VTG</t>
  </si>
  <si>
    <t>28.09.2026</t>
  </si>
  <si>
    <t>REBECCA  TUMUSIIME</t>
  </si>
  <si>
    <t>CF78025101E59L</t>
  </si>
  <si>
    <t>ISAAC  OJEN</t>
  </si>
  <si>
    <t>CM82097104QYAE</t>
  </si>
  <si>
    <t>ALEX  EBAMU</t>
  </si>
  <si>
    <t>CM710541047KEJ</t>
  </si>
  <si>
    <t>JAMES  OTIM</t>
  </si>
  <si>
    <t>CM73021100AE4D</t>
  </si>
  <si>
    <t>CONSTANTINE  ONYUTHFUA</t>
  </si>
  <si>
    <t>CM80033101HMVD  </t>
  </si>
  <si>
    <t>MARTIN  EYORU</t>
  </si>
  <si>
    <t>CM69058100YUGJ</t>
  </si>
  <si>
    <t>JOSEPH CYRIL OLOIT OGAGUL</t>
  </si>
  <si>
    <t>CM810431000GOL</t>
  </si>
  <si>
    <t>ABILU MAX</t>
  </si>
  <si>
    <t>CM67108100CQDA</t>
  </si>
  <si>
    <t>SIMON  EWANGU</t>
  </si>
  <si>
    <t>CM880971043X7F</t>
  </si>
  <si>
    <t>OLUPOT GEOFREY</t>
  </si>
  <si>
    <t>CM84058102XW9K</t>
  </si>
  <si>
    <t>Tractor operator</t>
  </si>
  <si>
    <t>ABRAHAM  EGWELU</t>
  </si>
  <si>
    <t>CM74038103E76L</t>
  </si>
  <si>
    <t>01.07.2019</t>
  </si>
  <si>
    <t>TOTAL ADMINISTRATIVE STAFF</t>
  </si>
  <si>
    <t>GRAND TOTAL FOR NASARRI</t>
  </si>
  <si>
    <t>ABI ZONAL AGRICULTURAL RESEARCH AND DEVELOPMENT INSTITUTE</t>
  </si>
  <si>
    <t>EMMANUEL  ODAMA</t>
  </si>
  <si>
    <t>CM81002109MK9F</t>
  </si>
  <si>
    <t>Abi ZARDI</t>
  </si>
  <si>
    <t>FAROUK SEMWOGERERE</t>
  </si>
  <si>
    <t>CM890552101W5IK</t>
  </si>
  <si>
    <t>ABIZARDI</t>
  </si>
  <si>
    <t>09/30/2029</t>
  </si>
  <si>
    <t>JOHN  ETIN</t>
  </si>
  <si>
    <t>CM79001100LTRC</t>
  </si>
  <si>
    <t>CLEMENT PEACE EJUA</t>
  </si>
  <si>
    <t>CM78002107WMNK</t>
  </si>
  <si>
    <t>OBALLIM GERARD</t>
  </si>
  <si>
    <t>CM80050103TQEK</t>
  </si>
  <si>
    <t>ERES  AWORI</t>
  </si>
  <si>
    <t>CF830391042LWH</t>
  </si>
  <si>
    <t>DAN  ACEMA</t>
  </si>
  <si>
    <t>CM81002108ZQ9D</t>
  </si>
  <si>
    <t>BUSHIRA  APELE</t>
  </si>
  <si>
    <t>CM85053100AGXL</t>
  </si>
  <si>
    <t>GERALD  DEGU IWE</t>
  </si>
  <si>
    <t>CM73029101U5HJ</t>
  </si>
  <si>
    <t>BARON  ASIKU</t>
  </si>
  <si>
    <t>CM81002107WNJE</t>
  </si>
  <si>
    <t>ANNET  BASIRIKA</t>
  </si>
  <si>
    <t>CF840441000T4J</t>
  </si>
  <si>
    <t>SISTO MOJA ARIOTI</t>
  </si>
  <si>
    <t>PM779991059W4C</t>
  </si>
  <si>
    <t>DICKSON  EGAMA</t>
  </si>
  <si>
    <t>CM820021024CKJ</t>
  </si>
  <si>
    <t>JOLAM  RWAHWIRE</t>
  </si>
  <si>
    <t>CM79006104K19J</t>
  </si>
  <si>
    <t>DANIEL AKAMPULIRA</t>
  </si>
  <si>
    <t>CM01045109DM9H</t>
  </si>
  <si>
    <t>SUB-TOTAL TECHNICAL STAFF</t>
  </si>
  <si>
    <t>ADMINISTRATIVE STAFF</t>
  </si>
  <si>
    <t>MOSES  BIRUMA</t>
  </si>
  <si>
    <t>Human Resource &amp; Administrative Officer</t>
  </si>
  <si>
    <t>LAWRENCE  BULEGA</t>
  </si>
  <si>
    <t>CM900121021NXK</t>
  </si>
  <si>
    <t>LOPUT JOSEPH ZIDAN</t>
  </si>
  <si>
    <t>CM8110710182HD</t>
  </si>
  <si>
    <t>Senior Admin Assistant G.II</t>
  </si>
  <si>
    <t>CHRISTINE  SARU</t>
  </si>
  <si>
    <t>CF70002104R4UH</t>
  </si>
  <si>
    <t>JOSEPHINE  APIO</t>
  </si>
  <si>
    <t>CF69097104GLMA</t>
  </si>
  <si>
    <t xml:space="preserve">Female </t>
  </si>
  <si>
    <t>FREDRICK  BYANSI</t>
  </si>
  <si>
    <t>CM66047104U34E</t>
  </si>
  <si>
    <t>JOHN  ANDAMA</t>
  </si>
  <si>
    <t>CM78002103WXTE</t>
  </si>
  <si>
    <t>ABDU  OCAN</t>
  </si>
  <si>
    <t>CM67103102TVRE</t>
  </si>
  <si>
    <t>OCAKA CHARLES JOEL</t>
  </si>
  <si>
    <t>CM8200510196TE</t>
  </si>
  <si>
    <t>WILSON  EDAKU</t>
  </si>
  <si>
    <t>CM7500210AKUJD</t>
  </si>
  <si>
    <t>SUB-TOTAL ADMINISTRATIVE STAFF</t>
  </si>
  <si>
    <t>GRAND TOTAL ABI ZARDI STAFF</t>
  </si>
  <si>
    <t>BUGINYANYA ZONAL AGRICULTURAL RESEARCH AND DEVELOPMENT INSTITUTE</t>
  </si>
  <si>
    <t>FRANK   KAGODA</t>
  </si>
  <si>
    <t>CM75008100G07K</t>
  </si>
  <si>
    <t>Buginyanya ZARDI</t>
  </si>
  <si>
    <t>KAIIRA MOSES GODFREY</t>
  </si>
  <si>
    <t>CM65083104ZE3C</t>
  </si>
  <si>
    <t>BRIAN BRITEX OWOYESIGIRE</t>
  </si>
  <si>
    <t>CM77034104F9JG</t>
  </si>
  <si>
    <t>GILBERT EMMANUEL OMIAT</t>
  </si>
  <si>
    <t>CM790971027VWC</t>
  </si>
  <si>
    <t>ROBERT  GIDOI</t>
  </si>
  <si>
    <t>CM71089102Q6ZC</t>
  </si>
  <si>
    <t>JOSEPH  ETIANG</t>
  </si>
  <si>
    <t>CM70079103NQEF</t>
  </si>
  <si>
    <t>CONSTANTINE  ONDHORO CHOBET</t>
  </si>
  <si>
    <t>CM78039109R92L</t>
  </si>
  <si>
    <t>MASABA SAMUEL RICHARD</t>
  </si>
  <si>
    <t>CM76067106FERJ</t>
  </si>
  <si>
    <t>MOSES  ELESU</t>
  </si>
  <si>
    <t>CM70097100FE1F</t>
  </si>
  <si>
    <t>BUYI  LABAN</t>
  </si>
  <si>
    <t>CM850891002QQC</t>
  </si>
  <si>
    <t>KENNETH  WALIMBWA</t>
  </si>
  <si>
    <t>CM8508910014DG</t>
  </si>
  <si>
    <t>RICHARD  GIMOGO</t>
  </si>
  <si>
    <t>CM76051105UFZL</t>
  </si>
  <si>
    <t>SAUFA  NYAKAHIMA</t>
  </si>
  <si>
    <t>CF880251015W0J</t>
  </si>
  <si>
    <t>ISMAIL  KAGOLOLA</t>
  </si>
  <si>
    <t>CF79008101KXWD</t>
  </si>
  <si>
    <t>MERCY CHEBET</t>
  </si>
  <si>
    <t>CF99014105T9YD</t>
  </si>
  <si>
    <t>NASSER  KASOZI</t>
  </si>
  <si>
    <t>CM7902410407YH</t>
  </si>
  <si>
    <t>MAGUMBA SULAIMAN</t>
  </si>
  <si>
    <t>CM7900710051KK</t>
  </si>
  <si>
    <t>25-6-79</t>
  </si>
  <si>
    <t>ANN GRACE AMONG</t>
  </si>
  <si>
    <t>CF75058103W23G</t>
  </si>
  <si>
    <t>Senior Admin Assistant G.11</t>
  </si>
  <si>
    <t>WERE IBRAHIM</t>
  </si>
  <si>
    <t>CM7002610696TD</t>
  </si>
  <si>
    <t>Mbarara ZARDI</t>
  </si>
  <si>
    <t>HELLEN  APOLOT</t>
  </si>
  <si>
    <t>CF760581056G5H</t>
  </si>
  <si>
    <t>BASIL  EYIMVUJO</t>
  </si>
  <si>
    <t>CM72040102MMFG</t>
  </si>
  <si>
    <t>GERALD  WONIALA</t>
  </si>
  <si>
    <t>CM69089101ZXAK</t>
  </si>
  <si>
    <t>ERIC  KISAMBIRA</t>
  </si>
  <si>
    <t>CM76007101FT9G</t>
  </si>
  <si>
    <t>ROBERT MUSUNGU</t>
  </si>
  <si>
    <t>CM77051104ETJE</t>
  </si>
  <si>
    <t>JUDE CHARLES MACHELI</t>
  </si>
  <si>
    <t>CM81051105NRPH</t>
  </si>
  <si>
    <t>REBECCA  NEBANDA</t>
  </si>
  <si>
    <t>CF80060101NR4J</t>
  </si>
  <si>
    <t>GRAND TOTAL BULINDI ZARDI STAFF</t>
  </si>
  <si>
    <t>BULINDI ZONAL AGRICULTURAL RESEARCH AND DEVELOPMENT INSTITUTE</t>
  </si>
  <si>
    <t>IVAN  ABAHO</t>
  </si>
  <si>
    <t>CM8800910GL5UA</t>
  </si>
  <si>
    <t>Bulindi ZARDI</t>
  </si>
  <si>
    <t>MOSES  MWESIGWA</t>
  </si>
  <si>
    <t>CM730231040PCC</t>
  </si>
  <si>
    <t>PATRICK  KALUNDA</t>
  </si>
  <si>
    <t>CM6805210Q90KE</t>
  </si>
  <si>
    <t>PAULINE  BIRUNGI</t>
  </si>
  <si>
    <t>CF70006103DHMD</t>
  </si>
  <si>
    <t>WILBER  WAMBI</t>
  </si>
  <si>
    <t>CM80008104ZA7L</t>
  </si>
  <si>
    <t>WILLIAMS  GUMA</t>
  </si>
  <si>
    <t>CM75040101WXVD</t>
  </si>
  <si>
    <t>JOSEPH  EKWANGU</t>
  </si>
  <si>
    <t>CM82058104EA4F</t>
  </si>
  <si>
    <t>STEVEN  SENABULYA</t>
  </si>
  <si>
    <t>CM920521022Z5G</t>
  </si>
  <si>
    <t>DOREEN  MUGABI</t>
  </si>
  <si>
    <t>CF820251036QZC</t>
  </si>
  <si>
    <t>GEOFFREY  OZUMA</t>
  </si>
  <si>
    <t>CM7300210C0W6E</t>
  </si>
  <si>
    <t>THADDEUS  ZAABWE</t>
  </si>
  <si>
    <t>CM840081070MNJ</t>
  </si>
  <si>
    <t>LYDIA  KABASOMI</t>
  </si>
  <si>
    <t>CF85006100PG7J</t>
  </si>
  <si>
    <t>LWAKI  MULABUKE</t>
  </si>
  <si>
    <t>CM8704410044MD</t>
  </si>
  <si>
    <t>EDITH  KARUNGI</t>
  </si>
  <si>
    <t>CF89006101G44D</t>
  </si>
  <si>
    <t>ROGERS  MUSIIME</t>
  </si>
  <si>
    <t>CM95025103K5XC</t>
  </si>
  <si>
    <t>PATRICIA LYDIA ASEKENYE</t>
  </si>
  <si>
    <t>CF95108102LVKE</t>
  </si>
  <si>
    <t>BRANDONEL  ANDAMA</t>
  </si>
  <si>
    <t>CM78077100GCKD</t>
  </si>
  <si>
    <t>BOB ABOR</t>
  </si>
  <si>
    <t>1004024179</t>
  </si>
  <si>
    <t>BENJAMIN  MANGHENI</t>
  </si>
  <si>
    <t>CM850421077ZRK</t>
  </si>
  <si>
    <t>MUKIIBI ANGELINE CAROLINE</t>
  </si>
  <si>
    <t>CF78097103APPF</t>
  </si>
  <si>
    <t>BARBARA  KYAMPEIRE</t>
  </si>
  <si>
    <t>CF8205210HTWYL</t>
  </si>
  <si>
    <t>ACUMA GEORGE ROBBINS</t>
  </si>
  <si>
    <t>CM69103101LLVF</t>
  </si>
  <si>
    <t>ROSETTE  KABIKURU</t>
  </si>
  <si>
    <t>CF74006100PNAJ</t>
  </si>
  <si>
    <t>WABUYERE LABAN MOSSY</t>
  </si>
  <si>
    <t>CM7606710127KJ</t>
  </si>
  <si>
    <t xml:space="preserve">BRIDGET FAIDHA </t>
  </si>
  <si>
    <t>CF85002107CFUL</t>
  </si>
  <si>
    <t>JIMMY  ODONGO</t>
  </si>
  <si>
    <t>CM87086100Y41E</t>
  </si>
  <si>
    <t>CHARLES  MASIGA</t>
  </si>
  <si>
    <t>CM71089102Q6MA</t>
  </si>
  <si>
    <t>VINCENT  TUSIIME</t>
  </si>
  <si>
    <t>CM760061011PVH</t>
  </si>
  <si>
    <t>ERICK  IWUTUNG</t>
  </si>
  <si>
    <t>CM83087100G24J</t>
  </si>
  <si>
    <t>BOSCO  BANDUNI</t>
  </si>
  <si>
    <t>CM81077104FXFG</t>
  </si>
  <si>
    <t>MUKONO ZONAL AGRICULTURAL RESEARCH AND DEVELOPMENT INSTITUTE</t>
  </si>
  <si>
    <t>CM75068105N8AL</t>
  </si>
  <si>
    <t>ROBERT ALEX ISABIRYE</t>
  </si>
  <si>
    <t>CM65094101U0ZE</t>
  </si>
  <si>
    <t>CF66068102ZVTG</t>
  </si>
  <si>
    <t>ESERI  NANKYA</t>
  </si>
  <si>
    <t>CF83080101LHJL</t>
  </si>
  <si>
    <t>NAKYAGABA NABITEEKO WINFRED</t>
  </si>
  <si>
    <t>CF73024103F9DH</t>
  </si>
  <si>
    <t>ANDREW VICTOR  ARINAITWE IZAARA</t>
  </si>
  <si>
    <t>CM78055106HEFK</t>
  </si>
  <si>
    <t>JERRY TINGLE EGESSA</t>
  </si>
  <si>
    <t>CM76042102LYRA</t>
  </si>
  <si>
    <t>CHRISTINE  NAKKAZI</t>
  </si>
  <si>
    <t>CF88023101V4GG</t>
  </si>
  <si>
    <t xml:space="preserve">Research Officer - Planning </t>
  </si>
  <si>
    <t>SSEBBANJA HOSSAM DIRISA</t>
  </si>
  <si>
    <t>CM801001005LFG</t>
  </si>
  <si>
    <t>GEORGE MUGOMBA KITUUKA</t>
  </si>
  <si>
    <t>CM73032104A9FA</t>
  </si>
  <si>
    <t>LUMU RICHARD</t>
  </si>
  <si>
    <t>CM70030102H8QK</t>
  </si>
  <si>
    <t>TEOPISTA  NAMIRIMU</t>
  </si>
  <si>
    <t>CF7905210D2PZK</t>
  </si>
  <si>
    <t>CATHERINE NAZZIWA</t>
  </si>
  <si>
    <t>CF92012103UZAH</t>
  </si>
  <si>
    <t>MULINDWA HENRY AARON</t>
  </si>
  <si>
    <t>CM76016104DEZC</t>
  </si>
  <si>
    <t xml:space="preserve">UR 4 Admin </t>
  </si>
  <si>
    <t>NAMPEERA MARY CONCEPTA</t>
  </si>
  <si>
    <t>CF770241033GGH</t>
  </si>
  <si>
    <t>ROBERT  MUTYABA</t>
  </si>
  <si>
    <t>CM84017103LKJH</t>
  </si>
  <si>
    <t>Human Resource &amp; Admin. Officer</t>
  </si>
  <si>
    <t>JOYCE  NANYOMBI</t>
  </si>
  <si>
    <t>CF7705210351CK</t>
  </si>
  <si>
    <t>JANE  TAKALI</t>
  </si>
  <si>
    <t>CF78026101Z6PD</t>
  </si>
  <si>
    <t>JOSEPH  KASIRYE</t>
  </si>
  <si>
    <t>CM74030101P8ZH</t>
  </si>
  <si>
    <t>HARRIET  LUKOOTO</t>
  </si>
  <si>
    <t>CF6705210HAQCG</t>
  </si>
  <si>
    <t>ROSETTE  BARUNGI</t>
  </si>
  <si>
    <t>CF79082101U6RH</t>
  </si>
  <si>
    <t>MARION  NAJJUMA</t>
  </si>
  <si>
    <t>CF860681062ZAJ</t>
  </si>
  <si>
    <t>CF67O5810KVFC</t>
  </si>
  <si>
    <t>JOYCE  NABUDUWA</t>
  </si>
  <si>
    <t>CF820511025WVF</t>
  </si>
  <si>
    <t>NAMASAGA FELIX KISOLO</t>
  </si>
  <si>
    <t>CM75051106C3GA</t>
  </si>
  <si>
    <t>KASUMBA JOSEPH</t>
  </si>
  <si>
    <t>CM750521048AJL</t>
  </si>
  <si>
    <t>FATUMA  BALUKA</t>
  </si>
  <si>
    <t>CF850071087LPJ</t>
  </si>
  <si>
    <t>DENIS  MUYAMBI</t>
  </si>
  <si>
    <t>CM8102710626TH</t>
  </si>
  <si>
    <t>GRAND TOTAL MUKONO ZARDI STAFF</t>
  </si>
  <si>
    <t>NABUIN ZONAL AGRICULTURAL RESEARCH AND DEVELOPMENT INSTITUTE</t>
  </si>
  <si>
    <t xml:space="preserve">NSABIYERA VALLENCE </t>
  </si>
  <si>
    <t>CM80018101VCFG</t>
  </si>
  <si>
    <t>Nabuin ZARDI</t>
  </si>
  <si>
    <t>ROGERS  AZABO RUYU</t>
  </si>
  <si>
    <t>CM73002103QL1D</t>
  </si>
  <si>
    <t>IJALA ANTHONY RAPHAEL</t>
  </si>
  <si>
    <t>CM76108103AVPK</t>
  </si>
  <si>
    <t>PAUL BOMA</t>
  </si>
  <si>
    <t xml:space="preserve">CM77072103T16C 
</t>
  </si>
  <si>
    <t xml:space="preserve">16-Aug-77
</t>
  </si>
  <si>
    <t xml:space="preserve">26-Nov-10
</t>
  </si>
  <si>
    <t>SAMUEL KAYONGO NJUKI</t>
  </si>
  <si>
    <t>CM79012102Z57C</t>
  </si>
  <si>
    <t xml:space="preserve">MOSES NDUGWA </t>
  </si>
  <si>
    <t>CM860321033K6D</t>
  </si>
  <si>
    <t>30/6/2029</t>
  </si>
  <si>
    <t xml:space="preserve">LEONARD OCHOM </t>
  </si>
  <si>
    <t>CM830851070R2A</t>
  </si>
  <si>
    <t xml:space="preserve">MOSES OTUBA </t>
  </si>
  <si>
    <t>CM8203510780HG</t>
  </si>
  <si>
    <t xml:space="preserve">SILVER OGWANG </t>
  </si>
  <si>
    <t>CM80043102Z0WL</t>
  </si>
  <si>
    <t>GEORGE EGAYU</t>
  </si>
  <si>
    <t>CM79058104Z8NH</t>
  </si>
  <si>
    <t xml:space="preserve">ODEKE FAUSTINE </t>
  </si>
  <si>
    <t>CM77097102A1XE</t>
  </si>
  <si>
    <t xml:space="preserve">MELKIZEDEK OGARAM </t>
  </si>
  <si>
    <t>CM85097100A9UE </t>
  </si>
  <si>
    <t xml:space="preserve">STEPHEN OLINGA </t>
  </si>
  <si>
    <t>CM80108102DP6A</t>
  </si>
  <si>
    <t xml:space="preserve">AGNES AMONGIN </t>
  </si>
  <si>
    <t>CF77058103VV8A</t>
  </si>
  <si>
    <t xml:space="preserve">STEPHEN WALYAULA </t>
  </si>
  <si>
    <t>CM690671025E4K </t>
  </si>
  <si>
    <t xml:space="preserve">IKILAI EMMANUEL </t>
  </si>
  <si>
    <t>CM85108101YUKF </t>
  </si>
  <si>
    <t xml:space="preserve">Reaserch Support </t>
  </si>
  <si>
    <t xml:space="preserve">ALINAITWE MOSES </t>
  </si>
  <si>
    <t>CM7902510184PA </t>
  </si>
  <si>
    <t xml:space="preserve">Research support </t>
  </si>
  <si>
    <t>GILBERT  MUTUDO</t>
  </si>
  <si>
    <t>CM8501510CKYDC</t>
  </si>
  <si>
    <t>WATER ODONGO</t>
  </si>
  <si>
    <t>CM78074103RA4C</t>
  </si>
  <si>
    <t>CAROLYN ASAPO</t>
  </si>
  <si>
    <t>CF73097100ZVMK </t>
  </si>
  <si>
    <t xml:space="preserve"> Accountant</t>
  </si>
  <si>
    <t>JULIET NALUYIMA NAMALA</t>
  </si>
  <si>
    <t>CF920301022F3F</t>
  </si>
  <si>
    <t xml:space="preserve">CHEBOSEI ALFRED </t>
  </si>
  <si>
    <t>CM6810410239FE</t>
  </si>
  <si>
    <t>MARGARET  NAKAWEESI</t>
  </si>
  <si>
    <t>CF72068106RJHH</t>
  </si>
  <si>
    <t>NIMARO  JOYCE</t>
  </si>
  <si>
    <t>CF89008101JVDG</t>
  </si>
  <si>
    <t>DANIEL  MUSASIZI</t>
  </si>
  <si>
    <t>CM870941057YEG</t>
  </si>
  <si>
    <t xml:space="preserve">AGUM FRED </t>
  </si>
  <si>
    <t>CM82001106DW9K</t>
  </si>
  <si>
    <t>CM74001100FYPL </t>
  </si>
  <si>
    <t xml:space="preserve">OKAWA AUGUSTINE TRINITY </t>
  </si>
  <si>
    <t>CM7810710191GG</t>
  </si>
  <si>
    <t>KASADHA JOHN</t>
  </si>
  <si>
    <t>CM75075104ZMEA</t>
  </si>
  <si>
    <t>GRAND TOTAL NABUIN ZARDI STAFF</t>
  </si>
  <si>
    <t>MBARARA ZONAL AGRICULTURAL RESEARCH AND DEVELOPMENT INSTITUTE</t>
  </si>
  <si>
    <t>PEACE  KANKWATSA</t>
  </si>
  <si>
    <t>CF7200910KW9YL</t>
  </si>
  <si>
    <t>CM68008104F04D</t>
  </si>
  <si>
    <t>DINA  NABASUMBA</t>
  </si>
  <si>
    <t>CF85105101F80E</t>
  </si>
  <si>
    <t>CM7303710364MA</t>
  </si>
  <si>
    <t>CM90048100YKRE</t>
  </si>
  <si>
    <t>UMAR  LUYOMBO</t>
  </si>
  <si>
    <t>CM840121042VZF</t>
  </si>
  <si>
    <t>NICHOLAS  SSEKABUNGA</t>
  </si>
  <si>
    <t>CM75032103H3KJ</t>
  </si>
  <si>
    <t>KYOMUGISHA MARY MAGGIORE</t>
  </si>
  <si>
    <t>CF7500910JL8AC</t>
  </si>
  <si>
    <t>HELLEN  MUTENYO</t>
  </si>
  <si>
    <t>CF73067104NKDE</t>
  </si>
  <si>
    <t>GERSHOM  TUGUME</t>
  </si>
  <si>
    <t>CM74037105X8CH</t>
  </si>
  <si>
    <t>LUKE RWABOONA NINSIIMA</t>
  </si>
  <si>
    <t>CM79037108L2MA</t>
  </si>
  <si>
    <t>STEPHEN  NATUHA</t>
  </si>
  <si>
    <t>CM78101105J3JF</t>
  </si>
  <si>
    <t>FRANK  MBALIRE</t>
  </si>
  <si>
    <t>CM92030105MY7E</t>
  </si>
  <si>
    <t>JEMIMAH  NATUHWERA</t>
  </si>
  <si>
    <t>CF89004105CLXF</t>
  </si>
  <si>
    <t>ISAAC  MAGUMBA</t>
  </si>
  <si>
    <t>CM90049100W7TG</t>
  </si>
  <si>
    <t>JOANITA NALUMANSI</t>
  </si>
  <si>
    <t>CF9905210XK33K</t>
  </si>
  <si>
    <t>HALID  KIRUNDA</t>
  </si>
  <si>
    <t>CM69007101V9ZG</t>
  </si>
  <si>
    <t>SUSAN  NIMUSIIMA</t>
  </si>
  <si>
    <t>CF850651016LQF</t>
  </si>
  <si>
    <t xml:space="preserve">GLADYS NASSALI </t>
  </si>
  <si>
    <t>JUDITH  ELONGE</t>
  </si>
  <si>
    <t>CF850881024XMD</t>
  </si>
  <si>
    <t>Senior Admin Assistant G.1</t>
  </si>
  <si>
    <t>FATUMAH  KALUNGI</t>
  </si>
  <si>
    <t>CF84027107Q8TJ</t>
  </si>
  <si>
    <t>JACKLINE  KIRABIRA</t>
  </si>
  <si>
    <t>CF89094102J1AD</t>
  </si>
  <si>
    <t>FAITH  NAJJUUKO</t>
  </si>
  <si>
    <t>CF70027107M2KJ</t>
  </si>
  <si>
    <t>FRED  MUHANGUZI</t>
  </si>
  <si>
    <t>CM700651047XJH</t>
  </si>
  <si>
    <t>MEDARD  KACURURU</t>
  </si>
  <si>
    <t>CM75037106277C</t>
  </si>
  <si>
    <t>WASSAJJA STANLEY</t>
  </si>
  <si>
    <t>CM84052107CZ6A</t>
  </si>
  <si>
    <t>FRANCIS  MAGEZI</t>
  </si>
  <si>
    <t>CM7500910DY1HC</t>
  </si>
  <si>
    <t>SEBYALA RONALD</t>
  </si>
  <si>
    <t>CM840521074YNF</t>
  </si>
  <si>
    <t>GRAND TOTAL MBARARA ZARDI STAFF</t>
  </si>
  <si>
    <t>RWEBITABA  ZONAL AGRICULTURAL RESEARCH AND DEVELOPMENT INSTITUTE</t>
  </si>
  <si>
    <t>KENNETH  AKANKWASA</t>
  </si>
  <si>
    <t>CM76009108URAK</t>
  </si>
  <si>
    <t>Rwebitaba ZARDI</t>
  </si>
  <si>
    <t>JUDAH  SSEKITOLEKO</t>
  </si>
  <si>
    <t>CM7805210EU2AG</t>
  </si>
  <si>
    <t>GODFREY  SUUBI</t>
  </si>
  <si>
    <t>CM69016100V78C</t>
  </si>
  <si>
    <t>BOAZ  MWESIGWA BOSS</t>
  </si>
  <si>
    <t>CM8200910JZDXA</t>
  </si>
  <si>
    <t>VENANSIO  TUMWINE</t>
  </si>
  <si>
    <t>CM68061130V89E</t>
  </si>
  <si>
    <t>DOUGLAS JJEMBA MUTEBI</t>
  </si>
  <si>
    <t>CM710911041MFC</t>
  </si>
  <si>
    <t>VIVIAN  NAMUTEBI</t>
  </si>
  <si>
    <t>CF86024103U9RC</t>
  </si>
  <si>
    <t>RONALD  KAWOOYA</t>
  </si>
  <si>
    <t>CM8502310AGGYC</t>
  </si>
  <si>
    <t>CHARLES  MUGISA</t>
  </si>
  <si>
    <t>CM8002510165FE</t>
  </si>
  <si>
    <t>AGNES WEGULO NAMWASE</t>
  </si>
  <si>
    <t>CF69008101VP8K</t>
  </si>
  <si>
    <t>PETER  SSENYONGA</t>
  </si>
  <si>
    <t>CM8302310AGATH</t>
  </si>
  <si>
    <t>NELSON  MUWEREZA</t>
  </si>
  <si>
    <t>CM8001310877MC</t>
  </si>
  <si>
    <t>RONALD  MUGUME</t>
  </si>
  <si>
    <t>CM84006105K9JK</t>
  </si>
  <si>
    <t>INNOCENT  GUMAOSHABE</t>
  </si>
  <si>
    <t>CM85046101ZZ8G</t>
  </si>
  <si>
    <t>DAVID  MUNUNUZI</t>
  </si>
  <si>
    <t>CM80008100YHAH</t>
  </si>
  <si>
    <t>ALFRED  AFEKU</t>
  </si>
  <si>
    <t>CM840021019JFC</t>
  </si>
  <si>
    <t>AHARINTA KENNETH FAITH</t>
  </si>
  <si>
    <t>CF86034102L3WJ</t>
  </si>
  <si>
    <t>VERERIANO  TURYAHEBWA</t>
  </si>
  <si>
    <t>CF85009102UWZL</t>
  </si>
  <si>
    <t>LAWRENCE  MUGENYI</t>
  </si>
  <si>
    <t>CM93010108TV9C</t>
  </si>
  <si>
    <t>SULA MULEME</t>
  </si>
  <si>
    <t>CM93051100TH9D</t>
  </si>
  <si>
    <t xml:space="preserve">UR 2(i) </t>
  </si>
  <si>
    <t>NKALUBO STANLEY TAMUSANGA</t>
  </si>
  <si>
    <t>CM72023104N99H</t>
  </si>
  <si>
    <t>Development Communication Officer Grade.II</t>
  </si>
  <si>
    <t>ABRAHAM  AHABWE</t>
  </si>
  <si>
    <t>CM82027101N3GJ</t>
  </si>
  <si>
    <t>KATTO WILBER FORCE</t>
  </si>
  <si>
    <t>CM89034108ZZPH</t>
  </si>
  <si>
    <t>HANNINGTON  AGABA</t>
  </si>
  <si>
    <t>CM67003100RCCH</t>
  </si>
  <si>
    <t>27/11/2027</t>
  </si>
  <si>
    <t>GEOFFREY  MUHINDO</t>
  </si>
  <si>
    <t>CM69015104X6RA</t>
  </si>
  <si>
    <t>Procurement officer</t>
  </si>
  <si>
    <t>BETTY  OCHWO</t>
  </si>
  <si>
    <t>CF76039105Q22H</t>
  </si>
  <si>
    <t>SYLVIA  KYOSABA</t>
  </si>
  <si>
    <t>CF92006102HAPJ</t>
  </si>
  <si>
    <t>NAMUKASA ZAHARA</t>
  </si>
  <si>
    <t>CF750061002TJF</t>
  </si>
  <si>
    <t>BALINDA PHILIP</t>
  </si>
  <si>
    <t>CM74010101E37A</t>
  </si>
  <si>
    <t>EDRIISA WASSWA KASIBANTE</t>
  </si>
  <si>
    <t>MOSES  MUTYABA</t>
  </si>
  <si>
    <t>CM78012101ZFHJ</t>
  </si>
  <si>
    <t>NGETTA  ZONAL AGRICULTURAL RESEARCH AND DEVELOPMENT INSTITUTE</t>
  </si>
  <si>
    <t>CM78089101WZUG</t>
  </si>
  <si>
    <t>Ngetta ZARDI</t>
  </si>
  <si>
    <t>CF76086100HZTA</t>
  </si>
  <si>
    <t>GODFREY  OTIM</t>
  </si>
  <si>
    <t>CM770051057P1D</t>
  </si>
  <si>
    <t>RICHARD AGELU ALINGU</t>
  </si>
  <si>
    <t>CM72054104530E</t>
  </si>
  <si>
    <t>ALLAN OBONYOM TEKKARA</t>
  </si>
  <si>
    <t>CM84005102GATL</t>
  </si>
  <si>
    <t>MOSES  OKAO</t>
  </si>
  <si>
    <t>CM81001103PJYK</t>
  </si>
  <si>
    <t>GEOFREY  NVIIRI</t>
  </si>
  <si>
    <t>CM81052103FE2C</t>
  </si>
  <si>
    <t>JESSY LUGYA</t>
  </si>
  <si>
    <t>CM93052108U2HL</t>
  </si>
  <si>
    <t>JOHN MARK  KODET</t>
  </si>
  <si>
    <t>CM67107100TALF </t>
  </si>
  <si>
    <t>ALEXANDRINA  ACIPA</t>
  </si>
  <si>
    <t>CF880381055CJA</t>
  </si>
  <si>
    <t>LAWRENCE OGWALO</t>
  </si>
  <si>
    <t>CM771031044HXC</t>
  </si>
  <si>
    <t>STEPEN  OPIO</t>
  </si>
  <si>
    <t>CM87022106E4RE</t>
  </si>
  <si>
    <t>ANGELLA  KYOBUTUNGI</t>
  </si>
  <si>
    <t>CF88004101C6PK</t>
  </si>
  <si>
    <t>SAMSON  OBONG</t>
  </si>
  <si>
    <t>CM90103100RFEA</t>
  </si>
  <si>
    <t>ALFRED KOMAKECH</t>
  </si>
  <si>
    <t>JOE OYIE EREM</t>
  </si>
  <si>
    <t>CM67001106AKXK</t>
  </si>
  <si>
    <t>PONTIUS  ALUMA</t>
  </si>
  <si>
    <t>CM73066101A80F</t>
  </si>
  <si>
    <t>CARDRINE  AMURON</t>
  </si>
  <si>
    <t>CF79043101L5XE</t>
  </si>
  <si>
    <t>MOSES  OBUA</t>
  </si>
  <si>
    <t>CM85076100J8NC </t>
  </si>
  <si>
    <t>BENNAH CATHERINE NALULE</t>
  </si>
  <si>
    <t>CF84082106VJKF</t>
  </si>
  <si>
    <t xml:space="preserve">ACHIENG VIOLET </t>
  </si>
  <si>
    <t>CF790391DL1K</t>
  </si>
  <si>
    <t>STEPHEN  OTIMONG</t>
  </si>
  <si>
    <t>CM750421060C7H</t>
  </si>
  <si>
    <t>PATRICK  OWETA</t>
  </si>
  <si>
    <t>CM68076106NFCF</t>
  </si>
  <si>
    <t>ELUA DAVID SIMON</t>
  </si>
  <si>
    <t>CM780011043NHD</t>
  </si>
  <si>
    <t>FRANCIS MUKISA</t>
  </si>
  <si>
    <t>CM75068103JPAA</t>
  </si>
  <si>
    <t>PETER  OKELLO</t>
  </si>
  <si>
    <t>CM68022103VJ9J</t>
  </si>
  <si>
    <t>PATRICK  OKELLO</t>
  </si>
  <si>
    <t>CM82086101F8NH</t>
  </si>
  <si>
    <t>VICTOR  APUNYO</t>
  </si>
  <si>
    <t>CM640221059AEE</t>
  </si>
  <si>
    <t>SAMUEL  ORECH</t>
  </si>
  <si>
    <t>CM83054100ZL7A</t>
  </si>
  <si>
    <t>TOTAL NGETTA ZARDI STAFF</t>
  </si>
  <si>
    <t>KACHWEKANO ZONAL AGRICULTURAL RESEARCH AND DEVELOPMENT INSTITUTE</t>
  </si>
  <si>
    <t>PROSSY  NAMUGGA</t>
  </si>
  <si>
    <t>CF8403610AGHPE</t>
  </si>
  <si>
    <t>Kachwekano ZARDI</t>
  </si>
  <si>
    <t>ROLLAND  AGABA</t>
  </si>
  <si>
    <t>CM80009101V10G</t>
  </si>
  <si>
    <t>ABEL  ARINAITWE BYARUGABA</t>
  </si>
  <si>
    <t>CM80037106VAKK</t>
  </si>
  <si>
    <t>ROSE  MWESIGE</t>
  </si>
  <si>
    <t>CF84048101K7VL</t>
  </si>
  <si>
    <t>JUSTUS AMOS MUTAYOMBA</t>
  </si>
  <si>
    <t>CM72009106MQXD</t>
  </si>
  <si>
    <t>RONALD AYAHURA KUTEESA</t>
  </si>
  <si>
    <t>CM85016101FT6D</t>
  </si>
  <si>
    <t>MERCY  NIMUSIIMA</t>
  </si>
  <si>
    <t>CF881061014XPK</t>
  </si>
  <si>
    <t>DENIS  ASHABA</t>
  </si>
  <si>
    <t>CM71009109TRWC</t>
  </si>
  <si>
    <t>GERALD  KWIKIRIZA</t>
  </si>
  <si>
    <t>CM89055101JD8J</t>
  </si>
  <si>
    <t>IVAN  MWESIGYE</t>
  </si>
  <si>
    <t>CM8600910E36UL</t>
  </si>
  <si>
    <t>HADAD  RUKUNDO</t>
  </si>
  <si>
    <t>CM74055100A73H</t>
  </si>
  <si>
    <t>KOBUSINGYE EVAS HOPE</t>
  </si>
  <si>
    <t>CF790091085EHL</t>
  </si>
  <si>
    <t>SARAH  KYARISIIMA</t>
  </si>
  <si>
    <t>CF830091083H3J</t>
  </si>
  <si>
    <t>ANDREW  AMPAIRE</t>
  </si>
  <si>
    <t>CM87027104AMQE</t>
  </si>
  <si>
    <t>SILVER  TUKAMUSHABA</t>
  </si>
  <si>
    <t>CM86112101VH7J</t>
  </si>
  <si>
    <t>JUDITH  NIWASASIRA</t>
  </si>
  <si>
    <t>CF8500910E3AHF</t>
  </si>
  <si>
    <t>TIMOTHY MUHOOZI</t>
  </si>
  <si>
    <t>CM97037103C6KH</t>
  </si>
  <si>
    <t>JEROME  KUBIRIBA</t>
  </si>
  <si>
    <t>CM6605210A8A4D</t>
  </si>
  <si>
    <t>MOSES  BUREGYEYA</t>
  </si>
  <si>
    <t>CM75027100XOZA</t>
  </si>
  <si>
    <t>BENSON  KANANURA</t>
  </si>
  <si>
    <t>CM851011035VTH</t>
  </si>
  <si>
    <t>ODER PATRICK DENIS</t>
  </si>
  <si>
    <t>CM81001102UCKC</t>
  </si>
  <si>
    <t>DAVIDSON  BIRUNGI</t>
  </si>
  <si>
    <t>CM76006101QM1K</t>
  </si>
  <si>
    <t>OSTEN  BAKESIGAKI</t>
  </si>
  <si>
    <t>CM67009102FD9H</t>
  </si>
  <si>
    <t>MOSES  EMENYU</t>
  </si>
  <si>
    <t>CM70054103TXLC</t>
  </si>
  <si>
    <t>MPAIRWE GODWIN</t>
  </si>
  <si>
    <t>CM84004100QY2E</t>
  </si>
  <si>
    <t>ANNAH  KABESHONGORE</t>
  </si>
  <si>
    <t>CF87112102DHYG</t>
  </si>
  <si>
    <t>Dec-18-23</t>
  </si>
  <si>
    <t>ANNA  MUKANKWAYA</t>
  </si>
  <si>
    <t>CF710181055C2L</t>
  </si>
  <si>
    <t>HERBERT  NGABIRANO</t>
  </si>
  <si>
    <t>CM7200910A4FDG</t>
  </si>
  <si>
    <t>BAINOMUGISHA PATRICK SURAIMAN</t>
  </si>
  <si>
    <t>CM78027105V1WA</t>
  </si>
  <si>
    <t>EDITH  TUSHABOMWE</t>
  </si>
  <si>
    <t>CF71009102M7RG</t>
  </si>
  <si>
    <t>PLACIDIA  KEMIREMBE</t>
  </si>
  <si>
    <t>CF7400910CJ89D</t>
  </si>
  <si>
    <t>CF9106900TQ1J</t>
  </si>
  <si>
    <t>CF82047106KUZF</t>
  </si>
  <si>
    <t xml:space="preserve">CHRISTINE  MWANJA KALEMBA </t>
  </si>
  <si>
    <t xml:space="preserve">APOLO ATAMBA </t>
  </si>
  <si>
    <t>CM86065100TP4F</t>
  </si>
  <si>
    <t>ERIK ARNOLD</t>
  </si>
  <si>
    <t>CM90029100X6HC</t>
  </si>
  <si>
    <t>ACOM GORRET1</t>
  </si>
  <si>
    <t>CF92038101C28G</t>
  </si>
  <si>
    <t>30 march 20230</t>
  </si>
  <si>
    <t>SANYA GODFREY</t>
  </si>
  <si>
    <t>CM90042103W9UH</t>
  </si>
  <si>
    <t>ORALD NSABIRE</t>
  </si>
  <si>
    <t>CM93106103Z4XL</t>
  </si>
  <si>
    <t>WALTER OCENG</t>
  </si>
  <si>
    <t>CM88088100WH1C</t>
  </si>
  <si>
    <t xml:space="preserve"> NIMUMANYA ASIIMWE</t>
  </si>
  <si>
    <t>CM95034102WGLC</t>
  </si>
  <si>
    <t>MALE</t>
  </si>
  <si>
    <t>AJIO FLORENCE</t>
  </si>
  <si>
    <t>CF89002101KZYJ</t>
  </si>
  <si>
    <t>EMILY OUMA ACHIENO</t>
  </si>
  <si>
    <t>CF93042101KKWC</t>
  </si>
  <si>
    <t>NAKALULE LAWRENCE</t>
  </si>
  <si>
    <t>NAGUJJA LILLIAN</t>
  </si>
  <si>
    <t>LUMONYA EDWIN FELIX</t>
  </si>
  <si>
    <t>CM91041106CHNH</t>
  </si>
  <si>
    <t>MBANAWE NDYAHWERWA</t>
  </si>
  <si>
    <t>CM971091003WJC</t>
  </si>
  <si>
    <t>BOLINGO JOHN</t>
  </si>
  <si>
    <t>CM840151101CDVK</t>
  </si>
  <si>
    <t>GRAND TOTAL BUGI ZARDI STAFF</t>
  </si>
  <si>
    <t>CM850341039PHL</t>
  </si>
  <si>
    <t>Mar-31-2025</t>
  </si>
  <si>
    <t>Mar-31-2026</t>
  </si>
  <si>
    <t>0-April-2030</t>
  </si>
  <si>
    <t xml:space="preserve">Administrative Assistant </t>
  </si>
  <si>
    <t>CF90024104V20F</t>
  </si>
  <si>
    <t>CM89016102MNTE</t>
  </si>
  <si>
    <t>June-30-2030</t>
  </si>
  <si>
    <t>HAPPY FRANCIS</t>
  </si>
  <si>
    <t xml:space="preserve">NAKANDI LYDIA MARIA </t>
  </si>
  <si>
    <t xml:space="preserve">NASSIB MUGWANYA </t>
  </si>
  <si>
    <t>CM8614200186922</t>
  </si>
  <si>
    <t xml:space="preserve">Science </t>
  </si>
  <si>
    <t>Principal Human Resource and Administrative Officer</t>
  </si>
  <si>
    <t xml:space="preserve"> Inventory Management Officer</t>
  </si>
  <si>
    <t xml:space="preserve">Principal Surveyor </t>
  </si>
  <si>
    <t>Senior Legal  Officer</t>
  </si>
  <si>
    <t>Senior  Information Technology Officer</t>
  </si>
  <si>
    <t xml:space="preserve"> Legal  Officer</t>
  </si>
  <si>
    <t>Senior Principal Grants Officer</t>
  </si>
  <si>
    <t xml:space="preserve">Risk Officer </t>
  </si>
  <si>
    <t xml:space="preserve">Bio-Safety Secretary/Officer </t>
  </si>
  <si>
    <t>Senior Database Management&amp; Knowledge Mgt  Officer</t>
  </si>
  <si>
    <t>Senior Knowledge Mgt  Officer</t>
  </si>
  <si>
    <t>Adminisrative Assistant (ARS)</t>
  </si>
  <si>
    <t xml:space="preserve">Principal Technology Promotion Officer </t>
  </si>
  <si>
    <t xml:space="preserve">Kitchen Attendant </t>
  </si>
  <si>
    <t>IMELDA NANYONJO BAGALANA</t>
  </si>
  <si>
    <t xml:space="preserve">Sub Total Technical Staff </t>
  </si>
  <si>
    <t>SAAD KALIISA</t>
  </si>
  <si>
    <t>CM860301007U6L</t>
  </si>
  <si>
    <t>GRAND TOTAL RWEBITABA ZARDI STAFF</t>
  </si>
  <si>
    <t xml:space="preserve"> Assistant Accountant</t>
  </si>
  <si>
    <t xml:space="preserve">GILBERT ODONGO </t>
  </si>
  <si>
    <t xml:space="preserve">Driver </t>
  </si>
  <si>
    <t xml:space="preserve"> Senior Research Officer</t>
  </si>
  <si>
    <t xml:space="preserve"> Administrative Assistant</t>
  </si>
  <si>
    <t>STELLA AJIBO</t>
  </si>
  <si>
    <t xml:space="preserve">HAMUZA KIBERU </t>
  </si>
  <si>
    <t xml:space="preserve">Saw Doctor </t>
  </si>
  <si>
    <t>GRAND TOTAL FOR NAFORRI</t>
  </si>
  <si>
    <t>Total Administration</t>
  </si>
  <si>
    <t>COCOA  RESEARCH PROGRAM</t>
  </si>
  <si>
    <t>ROOT ,TUBER AND BANANA RESEARCH PROGRAMME</t>
  </si>
  <si>
    <t>RESEARCH  AND SOCIAL SUPPORT UNIT</t>
  </si>
  <si>
    <t xml:space="preserve">Senior Research Officer-Biometrics,Socio-Economist&amp;Gender                       </t>
  </si>
  <si>
    <t xml:space="preserve">Sub Total </t>
  </si>
  <si>
    <t>VACCINES AND LIVESTOCK BIOSCIENCES RESEARCH PROGRAM</t>
  </si>
  <si>
    <t>VACCINE PRODUCTION CENTRE</t>
  </si>
  <si>
    <t>Senior Principal Research Officer-Production&amp; Documentation</t>
  </si>
  <si>
    <t>Senior Principal Research Officer-Air Quality Control</t>
  </si>
  <si>
    <t>Principal Research Officer-Building Management Systems</t>
  </si>
  <si>
    <t>Research Officer-Animal Care</t>
  </si>
  <si>
    <t>Principal Technician-Tick Colony Management</t>
  </si>
  <si>
    <t>Principal Technician-Equipment</t>
  </si>
  <si>
    <t xml:space="preserve">Principal Technician-Vaccine Production </t>
  </si>
  <si>
    <t xml:space="preserve"> Principal Internal Auditor</t>
  </si>
  <si>
    <t xml:space="preserve"> Senior Accountant</t>
  </si>
  <si>
    <t xml:space="preserve"> Procurement Officer</t>
  </si>
  <si>
    <t xml:space="preserve"> CROP IMPROVEMENT &amp; MANAGEMENT PROGRAMME</t>
  </si>
  <si>
    <t>PRODUCTION AND NATURAL RESOURCES MANAGEMENT PROGRAMME</t>
  </si>
  <si>
    <r>
      <t>S</t>
    </r>
    <r>
      <rPr>
        <b/>
        <sz val="12"/>
        <rFont val="Book Antiqua"/>
        <family val="1"/>
      </rPr>
      <t>UGAR TECHNOLOGY AND VALUE ADDITTION RESEARCH PROGRAM</t>
    </r>
  </si>
  <si>
    <t>Sugar Technologist</t>
  </si>
  <si>
    <r>
      <t>S</t>
    </r>
    <r>
      <rPr>
        <b/>
        <sz val="12"/>
        <rFont val="Book Antiqua"/>
        <family val="1"/>
      </rPr>
      <t xml:space="preserve">EED SYSTEMS AND TECHNOLOGY TRANSFER </t>
    </r>
  </si>
  <si>
    <t>TOTAL TECHNICAL</t>
  </si>
  <si>
    <t xml:space="preserve"> Principal Human Resource &amp; Administrative Officer </t>
  </si>
  <si>
    <t xml:space="preserve"> Development Communication Officer</t>
  </si>
  <si>
    <t xml:space="preserve"> Assistant Records Officer</t>
  </si>
  <si>
    <t>SOIL ENVIROMENT&amp; AGROMETEREOLOGY RESEARCH PROGRAM</t>
  </si>
  <si>
    <t>HEDWIG  NATABIRWA -PL</t>
  </si>
  <si>
    <t>ONESIMUS  SEMALULU-Ag.PL</t>
  </si>
  <si>
    <t>YADA BENARD -PL</t>
  </si>
  <si>
    <t>APPROVED</t>
  </si>
  <si>
    <t xml:space="preserve">NAROSEC </t>
  </si>
  <si>
    <t>NACRRI</t>
  </si>
  <si>
    <t>NAFORRI</t>
  </si>
  <si>
    <t>NAFIRRI</t>
  </si>
  <si>
    <t>NALIRRI</t>
  </si>
  <si>
    <t>NASARRI</t>
  </si>
  <si>
    <t>BUGIZARDI</t>
  </si>
  <si>
    <t>BULINDI ZARDI</t>
  </si>
  <si>
    <t>MBAZARDI</t>
  </si>
  <si>
    <t>NGETTA ZARDI</t>
  </si>
  <si>
    <t>RWEBITABA ZARDI</t>
  </si>
  <si>
    <t>KAZARDI</t>
  </si>
  <si>
    <t>NABUIN ZARDI</t>
  </si>
  <si>
    <t xml:space="preserve">CATEGORY </t>
  </si>
  <si>
    <t>TOTAL APPROVED</t>
  </si>
  <si>
    <t>TOTAL FILLED</t>
  </si>
  <si>
    <t>TOTAL</t>
  </si>
  <si>
    <t>GODFREY  SSEREMBA -PL</t>
  </si>
  <si>
    <t>Research Officer-Quality Control</t>
  </si>
  <si>
    <t>BARBRA NYAKATO KIMPI</t>
  </si>
  <si>
    <t>CF80055102KLML</t>
  </si>
  <si>
    <t>CM9602105U7GH</t>
  </si>
  <si>
    <t xml:space="preserve">JOSEPH TAMALE </t>
  </si>
  <si>
    <t>CM8702310AMT4H</t>
  </si>
  <si>
    <t>CM96024103FG</t>
  </si>
  <si>
    <t>KATO DEVIS</t>
  </si>
  <si>
    <t xml:space="preserve">TUKAHIRWA  HENRY </t>
  </si>
  <si>
    <t xml:space="preserve">CHRISOSTORM AYEBAZIBWE </t>
  </si>
  <si>
    <t xml:space="preserve">Senior Research Officer-Pharmacy </t>
  </si>
  <si>
    <t>KHAUKHA FARIDA</t>
  </si>
  <si>
    <t>NAMBI HELLEN</t>
  </si>
  <si>
    <t>DICKSON TAYEBWA</t>
  </si>
  <si>
    <t>DENIS KAYIMA</t>
  </si>
  <si>
    <t>CELESTINE ALIANATI</t>
  </si>
  <si>
    <t xml:space="preserve">GRAND TOTAL NARO </t>
  </si>
  <si>
    <t>CF98043103WW2G</t>
  </si>
  <si>
    <t>CF830261079XLC</t>
  </si>
  <si>
    <t>CF891051016P9F</t>
  </si>
  <si>
    <t>CM90045101Y4FL</t>
  </si>
  <si>
    <t>CM88009103498K</t>
  </si>
  <si>
    <t>CM73061105C2GL</t>
  </si>
  <si>
    <t>SARAH NANYITI</t>
  </si>
  <si>
    <t>CF8110010672JK</t>
  </si>
  <si>
    <t>MWAKA HENRY OJHARA SHAYKINS</t>
  </si>
  <si>
    <t>CM78085105T54F</t>
  </si>
  <si>
    <t>JOSEPHINE BIRUNGI</t>
  </si>
  <si>
    <t>CF7002310C0AFC</t>
  </si>
  <si>
    <r>
      <t>ROBERT  MUZIRA-</t>
    </r>
    <r>
      <rPr>
        <sz val="12"/>
        <color rgb="FFFF0000"/>
        <rFont val="Book Antiqua"/>
        <family val="1"/>
      </rPr>
      <t>PL</t>
    </r>
  </si>
  <si>
    <r>
      <t>ANDREW WANGE BUGENYI -</t>
    </r>
    <r>
      <rPr>
        <sz val="12"/>
        <color rgb="FFFF0000"/>
        <rFont val="Book Antiqua"/>
        <family val="1"/>
      </rPr>
      <t>Ag. PL</t>
    </r>
  </si>
  <si>
    <r>
      <t xml:space="preserve">AMOS WENTARO ATURINDA </t>
    </r>
    <r>
      <rPr>
        <sz val="12"/>
        <color rgb="FFFF0000"/>
        <rFont val="Book Antiqua"/>
        <family val="1"/>
      </rPr>
      <t>Ag</t>
    </r>
    <r>
      <rPr>
        <sz val="12"/>
        <rFont val="Book Antiqua"/>
        <family val="1"/>
      </rPr>
      <t>. PL</t>
    </r>
  </si>
  <si>
    <t>31.12.2029</t>
  </si>
  <si>
    <t xml:space="preserve">UR 3Admin </t>
  </si>
  <si>
    <r>
      <t>ALPHONSE  CANDIA -</t>
    </r>
    <r>
      <rPr>
        <sz val="12"/>
        <color theme="9"/>
        <rFont val="Book Antiqua"/>
        <family val="1"/>
      </rPr>
      <t>PL</t>
    </r>
  </si>
  <si>
    <t xml:space="preserve">UR 4RT </t>
  </si>
  <si>
    <t>DOREEN MURENJU  CHELENGAT</t>
  </si>
  <si>
    <t>CF88051101YMZF</t>
  </si>
  <si>
    <t>NAMUBIRU GEMMA JULIAN</t>
  </si>
  <si>
    <t>CF9801210960FK</t>
  </si>
  <si>
    <t>female</t>
  </si>
  <si>
    <t>SSEMAKULA GORRETIE NANKINGA</t>
  </si>
  <si>
    <t>COFFEE PLANT HEALTH MANAGEMENT PROGRAMME</t>
  </si>
  <si>
    <t xml:space="preserve">CURRENT ESTABLISHMENT AND STAFFING </t>
  </si>
  <si>
    <t>CM9300610HNJE</t>
  </si>
  <si>
    <t>NOORDIN HASSAN  KIRUNGI</t>
  </si>
  <si>
    <t xml:space="preserve">  </t>
  </si>
  <si>
    <t>CM76094103PWQL</t>
  </si>
  <si>
    <t xml:space="preserve">senior/inventory management officer </t>
  </si>
  <si>
    <t>aprp</t>
  </si>
  <si>
    <t>Administration-support</t>
  </si>
  <si>
    <t>Research Scientist</t>
  </si>
  <si>
    <t>MUKONO ZARDI</t>
  </si>
  <si>
    <t xml:space="preserve"> CM9901210AGDRA</t>
  </si>
  <si>
    <t xml:space="preserve"> ANDREW KATUMBA </t>
  </si>
  <si>
    <t>OCHWA AKASAIRI</t>
  </si>
  <si>
    <t>CM8703510052WL     Male</t>
  </si>
  <si>
    <t xml:space="preserve"> Administrative  Assistant</t>
  </si>
  <si>
    <t>JOVINA AJAMBO</t>
  </si>
  <si>
    <t>CF01042108PTCC</t>
  </si>
  <si>
    <t>LUCY ATHIENO</t>
  </si>
  <si>
    <t>CF94039103WZ7H</t>
  </si>
  <si>
    <t>18 JULY 994</t>
  </si>
  <si>
    <t>LUKE EPISU</t>
  </si>
  <si>
    <t>CM8805410E58A</t>
  </si>
  <si>
    <t>DANIEL ZADOKI ODONGO</t>
  </si>
  <si>
    <t xml:space="preserve">ANNEX 1:NARO STRUCTURE FOR TRADED OFF POSITIONS  </t>
  </si>
  <si>
    <t>JOB TITLE</t>
  </si>
  <si>
    <t>APPROVED ESTAB</t>
  </si>
  <si>
    <t xml:space="preserve">TRADED OFF </t>
  </si>
  <si>
    <t>PROPOSED NEW ESTAB</t>
  </si>
  <si>
    <t>CURRENT  MONTHLY SALARY</t>
  </si>
  <si>
    <t>CURRENT ANNUAL SALARY</t>
  </si>
  <si>
    <t xml:space="preserve">NARL </t>
  </si>
  <si>
    <t>BIODIVERSITY &amp; BIOTECHNOLOGY - BBP PROGRAM</t>
  </si>
  <si>
    <t>Sub Total</t>
  </si>
  <si>
    <t xml:space="preserve">SOIL ENVIRONMENT AND AGROMETEREOLOGY RESEARCH PROGRAM </t>
  </si>
  <si>
    <t>UR 4Tech</t>
  </si>
  <si>
    <t>UR 5(ii)Tech</t>
  </si>
  <si>
    <t>UR 6Tech</t>
  </si>
  <si>
    <t>UR 5(i)Tech</t>
  </si>
  <si>
    <t>FOOD BIOSCIENCES &amp; AGRIBUSINESS-FBA PROGRAMME</t>
  </si>
  <si>
    <t>BIOSYSTEMS &amp; AGRICULTURAL ENGINEERING RESEARCH PROGRAMME</t>
  </si>
  <si>
    <t>ROOT,TUBER AND BANANA RESEARCH PROGRAMME</t>
  </si>
  <si>
    <t xml:space="preserve">Senior Research Officer </t>
  </si>
  <si>
    <t xml:space="preserve">CEREALS  RESEARCH PROGRAMME </t>
  </si>
  <si>
    <t xml:space="preserve">NACORI </t>
  </si>
  <si>
    <t>COFFEE VARIETY IMPROVEMENT AND MANAGEMENT PROGRAMME</t>
  </si>
  <si>
    <t>COFFEE PLANT HEALTH AND MANAGEMENT</t>
  </si>
  <si>
    <t xml:space="preserve">NaFORRI </t>
  </si>
  <si>
    <t>FOREST CONSERVATION AND MANAGEMENT</t>
  </si>
  <si>
    <t>AGROFORESTRY</t>
  </si>
  <si>
    <t xml:space="preserve">NaFIRRI </t>
  </si>
  <si>
    <t xml:space="preserve">Technician </t>
  </si>
  <si>
    <t xml:space="preserve">Mechanical Techician </t>
  </si>
  <si>
    <t xml:space="preserve">NaLIRRI </t>
  </si>
  <si>
    <t xml:space="preserve">VACCINES AND LIVESTOCK BIOSCIENCES RESEARCH PROGRAMME </t>
  </si>
  <si>
    <t xml:space="preserve">NaSARRI </t>
  </si>
  <si>
    <t xml:space="preserve">Senior Principal Reserch Officer </t>
  </si>
  <si>
    <t>DRYLAND CEREAL RESEARCH PROGRAMME</t>
  </si>
  <si>
    <t>UR 5(i)R</t>
  </si>
  <si>
    <t>ANIMAL TRACTION RESEARCH  PROGRAMME</t>
  </si>
  <si>
    <t>BUGINYANYA ZARDI</t>
  </si>
  <si>
    <t>UR6RT</t>
  </si>
  <si>
    <t>Assistant Farm Manager-irrigation engineering</t>
  </si>
  <si>
    <t>MBARARA ZARDI</t>
  </si>
  <si>
    <t xml:space="preserve">Assistant Farm Manager </t>
  </si>
  <si>
    <t>KACHWEKANO ZARDI</t>
  </si>
  <si>
    <t>Research Assistant</t>
  </si>
  <si>
    <t>CM97088100CMMJ</t>
  </si>
  <si>
    <t>SSEKIWOKO FRED (Ag. PL)</t>
  </si>
  <si>
    <t>JOSEPH  MAGALA</t>
  </si>
  <si>
    <t>CM910681048EOJ</t>
  </si>
  <si>
    <t>SARAH  MUTONYI(Ag.PL)</t>
  </si>
  <si>
    <t>CM780331006FLA</t>
  </si>
  <si>
    <t>`</t>
  </si>
  <si>
    <t>AYESIGA BIGIRWA STELLA</t>
  </si>
  <si>
    <t>CF89025103EYNK</t>
  </si>
  <si>
    <t>SAMSON OJOK</t>
  </si>
  <si>
    <t>CM89012100L4GK</t>
  </si>
  <si>
    <t>30.June.2029</t>
  </si>
  <si>
    <t>ADRIAN GABULA</t>
  </si>
  <si>
    <t>CM870221024MJJ</t>
  </si>
  <si>
    <t>PAULA IRAGABA</t>
  </si>
  <si>
    <t>PRIVER NAMANYA BWESIGYE</t>
  </si>
  <si>
    <t>STEPHEN SAKULA</t>
  </si>
  <si>
    <t xml:space="preserve">GODDY OKWELE SAM </t>
  </si>
  <si>
    <t>UWIMBABAZI MOREEN-PL</t>
  </si>
  <si>
    <t>JUDITH SSALI NANTONGO PL</t>
  </si>
  <si>
    <t>FRED  KALANZI -PL</t>
  </si>
  <si>
    <t>JOEL  BUYINZA-PL</t>
  </si>
  <si>
    <t>BARNABAS  MUDDE P L</t>
  </si>
  <si>
    <t>GRACELINE  AKONGO OBONG Ag.PL</t>
  </si>
  <si>
    <r>
      <t xml:space="preserve">MOSES TEFULA DHIKUSOOKA </t>
    </r>
    <r>
      <rPr>
        <sz val="12"/>
        <color rgb="FFFF0000"/>
        <rFont val="Book Antiqua"/>
        <family val="1"/>
      </rPr>
      <t>PL</t>
    </r>
  </si>
  <si>
    <t>Assistant Estate Manager( quota @BugiZARDI</t>
  </si>
  <si>
    <t xml:space="preserve">% STAFFING </t>
  </si>
  <si>
    <r>
      <t>GODFREY  SSERUWU-</t>
    </r>
    <r>
      <rPr>
        <sz val="12"/>
        <color rgb="FFFF0000"/>
        <rFont val="Book Antiqua"/>
        <family val="1"/>
      </rPr>
      <t>CM</t>
    </r>
  </si>
  <si>
    <r>
      <t>BABIRYE DAMALIE MAGALA -</t>
    </r>
    <r>
      <rPr>
        <sz val="12"/>
        <color rgb="FFFF0000"/>
        <rFont val="Book Antiqua"/>
        <family val="1"/>
      </rPr>
      <t>PL</t>
    </r>
  </si>
  <si>
    <t>ALEX BAREKYE PL</t>
  </si>
  <si>
    <t>Assistat Research Officer</t>
  </si>
  <si>
    <t>UR5(i)RT</t>
  </si>
  <si>
    <t>NARO ESTABLISHMENT_NUMBERS JUNE  2026</t>
  </si>
  <si>
    <t>SUMMARY OF STAFF ESTABLISHMENT AGAINST FILLED AS AT 21/6/2026</t>
  </si>
  <si>
    <t>31/08/20230</t>
  </si>
  <si>
    <t>24/7/20228</t>
  </si>
  <si>
    <t>Brian Walugembe</t>
  </si>
  <si>
    <t xml:space="preserve">Ssemeru Elijah  </t>
  </si>
  <si>
    <t>UR6 Admin</t>
  </si>
  <si>
    <t xml:space="preserve">CM870321077PAD </t>
  </si>
  <si>
    <t>Mutumba B. Ntanzi</t>
  </si>
  <si>
    <t>CF98099101TAQG</t>
  </si>
  <si>
    <t>CM96017101TK6A</t>
  </si>
  <si>
    <t>Sekyanzi Richard</t>
  </si>
  <si>
    <t>CM910931018HHH</t>
  </si>
  <si>
    <t>Nagayi Lamurah N</t>
  </si>
  <si>
    <t>Kiggundu Solomon E</t>
  </si>
  <si>
    <t>CM96012105GDUG</t>
  </si>
  <si>
    <t>Juliet Ayebale</t>
  </si>
  <si>
    <t>CF9300610034NK</t>
  </si>
  <si>
    <t>Kyamuhangi Rovence</t>
  </si>
  <si>
    <t>: CF9303610APYTL</t>
  </si>
  <si>
    <t>Rogers Ssekiziyivu</t>
  </si>
  <si>
    <t>CM0005210UZR6J</t>
  </si>
  <si>
    <t>Godious Owila</t>
  </si>
  <si>
    <t>CM96074100C96H</t>
  </si>
  <si>
    <t>Nangonzi Rose</t>
  </si>
  <si>
    <t>CF92105106410K</t>
  </si>
  <si>
    <t xml:space="preserve">Mulondo Samuel </t>
  </si>
  <si>
    <t>: CM9401100VADD</t>
  </si>
  <si>
    <t>Namazzi Betty Perus</t>
  </si>
  <si>
    <t>: CF9705210G0RQA</t>
  </si>
  <si>
    <t>Kyakuwa Ivan</t>
  </si>
  <si>
    <t>CF970310DT77C</t>
  </si>
  <si>
    <t xml:space="preserve">Lule Andrew </t>
  </si>
  <si>
    <t>: CM97032107TY0K</t>
  </si>
  <si>
    <t>Douglas Guwondo</t>
  </si>
  <si>
    <t>CM86051106LC0D</t>
  </si>
  <si>
    <t xml:space="preserve">John Bosco Ogwal </t>
  </si>
  <si>
    <t>: CM85057101RUEH</t>
  </si>
  <si>
    <t>UR 9</t>
  </si>
  <si>
    <t>UR 10</t>
  </si>
  <si>
    <t>Alifuunsi Muyunga</t>
  </si>
  <si>
    <t>CM96036103879L</t>
  </si>
  <si>
    <t xml:space="preserve">Jafali Munankone </t>
  </si>
  <si>
    <t>CM850261031PSF</t>
  </si>
  <si>
    <t>John Amati</t>
  </si>
  <si>
    <t>CM820771D6PF</t>
  </si>
  <si>
    <t xml:space="preserve">Ashraf Muyere </t>
  </si>
  <si>
    <t>CM00094107HUTE</t>
  </si>
  <si>
    <t xml:space="preserve">Nelson Mwima </t>
  </si>
  <si>
    <t>CM00060106RTMG</t>
  </si>
  <si>
    <t>01/07/202</t>
  </si>
  <si>
    <t>Jackline Sarah
 Mawemuko</t>
  </si>
  <si>
    <t>CF87099102CE4E</t>
  </si>
  <si>
    <t>CM95024100Q0HF</t>
  </si>
  <si>
    <t>NARO WIDE STAFF LIST -AUG .31.2026</t>
  </si>
  <si>
    <t xml:space="preserve">GEORGE KIWANUKA </t>
  </si>
  <si>
    <t>KIBUUKA DERRICK</t>
  </si>
  <si>
    <t>CM9405210AXL4J</t>
  </si>
  <si>
    <t>DERRICK KIBUUKA</t>
  </si>
  <si>
    <t>CM910521082H46</t>
  </si>
  <si>
    <t>MICHAEL BUWEMBO</t>
  </si>
  <si>
    <t>FAHAD MUSASIZI</t>
  </si>
  <si>
    <t>Senior Principal  Research Officer</t>
  </si>
  <si>
    <t>Senior Principal  Research Officer-Quality Assurance</t>
  </si>
  <si>
    <t>MATHIAS TURINAWE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</si>
</sst>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409]d\-mmm\-yyyy;@"/>
    <numFmt numFmtId="167" formatCode="[$-409]d\-mmm\-yy;@"/>
    <numFmt numFmtId="168" formatCode="_-* #,##0_-;\-* #,##0_-;_-* &quot;-&quot;??_-;_-@_-"/>
    <numFmt numFmtId="169" formatCode="_(* #,##0_);_(* \(#,##0\);_(* &quot;-&quot;??_);_(@_)"/>
    <numFmt numFmtId="170" formatCode="[$-409]mmmm\ d\,\ yyyy;@"/>
    <numFmt numFmtId="171" formatCode="m/d/yyyy;@"/>
  </numFmts>
  <fonts count="49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Book Antiqua"/>
      <family val="1"/>
    </font>
    <font>
      <b/>
      <sz val="12"/>
      <name val="Book Antiqua"/>
      <family val="1"/>
    </font>
    <font>
      <sz val="11"/>
      <name val="Book Antiqua"/>
      <family val="1"/>
    </font>
    <font>
      <sz val="11"/>
      <name val="Calibri"/>
      <family val="2"/>
    </font>
    <font>
      <sz val="12"/>
      <color indexed="36"/>
      <name val="Book Antiqua"/>
      <family val="1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Book Antiqua"/>
      <family val="1"/>
    </font>
    <font>
      <b/>
      <sz val="12"/>
      <color theme="1"/>
      <name val="Book Antiqua"/>
      <family val="1"/>
    </font>
    <font>
      <b/>
      <sz val="12"/>
      <color rgb="FFFF0000"/>
      <name val="Book Antiqua"/>
      <family val="1"/>
    </font>
    <font>
      <sz val="12"/>
      <color rgb="FFFF0000"/>
      <name val="Book Antiqua"/>
      <family val="1"/>
    </font>
    <font>
      <sz val="12"/>
      <color rgb="FFC00000"/>
      <name val="Book Antiqua"/>
      <family val="1"/>
    </font>
    <font>
      <sz val="14"/>
      <color theme="1"/>
      <name val="Book Antiqua"/>
      <family val="1"/>
    </font>
    <font>
      <sz val="12"/>
      <color theme="1" tint="4.9989318521683403E-2"/>
      <name val="Book Antiqua"/>
      <family val="1"/>
    </font>
    <font>
      <sz val="12"/>
      <color rgb="FF7030A0"/>
      <name val="Book Antiqua"/>
      <family val="1"/>
    </font>
    <font>
      <sz val="11"/>
      <color theme="1"/>
      <name val="Book Antiqua"/>
      <family val="1"/>
    </font>
    <font>
      <sz val="12"/>
      <color rgb="FF00B050"/>
      <name val="Book Antiqua"/>
      <family val="1"/>
    </font>
    <font>
      <sz val="12"/>
      <color rgb="FF0070C0"/>
      <name val="Book Antiqua"/>
      <family val="1"/>
    </font>
    <font>
      <sz val="12"/>
      <color theme="0"/>
      <name val="Book Antiqua"/>
      <family val="1"/>
    </font>
    <font>
      <sz val="12"/>
      <color rgb="FF000000"/>
      <name val="Book Antiqua"/>
      <family val="1"/>
    </font>
    <font>
      <i/>
      <sz val="12"/>
      <color theme="1"/>
      <name val="Book Antiqua"/>
      <family val="1"/>
    </font>
    <font>
      <sz val="12"/>
      <color theme="1"/>
      <name val="Bookman Old Style"/>
      <family val="1"/>
    </font>
    <font>
      <sz val="12"/>
      <color theme="1"/>
      <name val="Calibri"/>
      <family val="2"/>
      <scheme val="minor"/>
    </font>
    <font>
      <sz val="10.5"/>
      <color theme="1"/>
      <name val="Book Antiqua"/>
      <family val="1"/>
    </font>
    <font>
      <sz val="10"/>
      <color theme="1"/>
      <name val="Book Antiqua"/>
      <family val="1"/>
    </font>
    <font>
      <sz val="12"/>
      <color theme="3" tint="0.59999389629810485"/>
      <name val="Book Antiqua"/>
      <family val="1"/>
    </font>
    <font>
      <b/>
      <sz val="12"/>
      <color theme="1"/>
      <name val="Calibri"/>
      <family val="2"/>
      <scheme val="minor"/>
    </font>
    <font>
      <b/>
      <i/>
      <sz val="12"/>
      <name val="Book Antiqua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Algerian"/>
      <family val="5"/>
    </font>
    <font>
      <sz val="12"/>
      <color theme="1"/>
      <name val="Book Antiqua "/>
    </font>
    <font>
      <sz val="12"/>
      <color theme="9"/>
      <name val="Book Antiqua"/>
      <family val="1"/>
    </font>
    <font>
      <b/>
      <sz val="12"/>
      <color theme="1"/>
      <name val="Algerian"/>
      <family val="5"/>
    </font>
    <font>
      <sz val="12"/>
      <color rgb="FF000000"/>
      <name val="Bookman Old Style"/>
      <family val="1"/>
    </font>
    <font>
      <sz val="12"/>
      <color rgb="FF000000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Book Antiqua"/>
      <family val="1"/>
    </font>
    <font>
      <b/>
      <sz val="14"/>
      <color theme="1"/>
      <name val="Times New Roman"/>
      <family val="1"/>
    </font>
    <font>
      <b/>
      <sz val="14"/>
      <name val="Book Antiqua"/>
      <family val="1"/>
    </font>
    <font>
      <sz val="14"/>
      <name val="Book Antiqua"/>
      <family val="1"/>
    </font>
    <font>
      <sz val="12"/>
      <color rgb="FF000000"/>
      <name val="Amasis MT Pro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2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</cellStyleXfs>
  <cellXfs count="538">
    <xf numFmtId="0" fontId="0" fillId="0" borderId="0" xfId="0"/>
    <xf numFmtId="0" fontId="0" fillId="0" borderId="1" xfId="0" applyBorder="1"/>
    <xf numFmtId="0" fontId="10" fillId="4" borderId="0" xfId="0" applyFont="1" applyFill="1"/>
    <xf numFmtId="0" fontId="10" fillId="3" borderId="0" xfId="0" applyFont="1" applyFill="1"/>
    <xf numFmtId="0" fontId="11" fillId="0" borderId="0" xfId="0" applyFont="1"/>
    <xf numFmtId="0" fontId="12" fillId="3" borderId="0" xfId="0" applyFont="1" applyFill="1"/>
    <xf numFmtId="0" fontId="11" fillId="3" borderId="0" xfId="0" applyFont="1" applyFill="1"/>
    <xf numFmtId="0" fontId="12" fillId="0" borderId="0" xfId="0" applyFont="1"/>
    <xf numFmtId="0" fontId="10" fillId="3" borderId="1" xfId="0" applyFont="1" applyFill="1" applyBorder="1"/>
    <xf numFmtId="0" fontId="13" fillId="0" borderId="0" xfId="0" applyFont="1"/>
    <xf numFmtId="0" fontId="13" fillId="3" borderId="0" xfId="0" applyFont="1" applyFill="1"/>
    <xf numFmtId="0" fontId="13" fillId="5" borderId="0" xfId="0" applyFont="1" applyFill="1"/>
    <xf numFmtId="0" fontId="13" fillId="6" borderId="0" xfId="0" applyFont="1" applyFill="1"/>
    <xf numFmtId="0" fontId="14" fillId="0" borderId="0" xfId="0" applyFont="1"/>
    <xf numFmtId="0" fontId="10" fillId="2" borderId="0" xfId="0" applyFont="1" applyFill="1"/>
    <xf numFmtId="0" fontId="2" fillId="0" borderId="1" xfId="0" applyFont="1" applyBorder="1"/>
    <xf numFmtId="0" fontId="15" fillId="0" borderId="1" xfId="0" applyFont="1" applyBorder="1"/>
    <xf numFmtId="0" fontId="15" fillId="0" borderId="1" xfId="0" applyFont="1" applyBorder="1" applyAlignment="1">
      <alignment horizontal="right"/>
    </xf>
    <xf numFmtId="0" fontId="15" fillId="0" borderId="3" xfId="0" applyFont="1" applyBorder="1"/>
    <xf numFmtId="166" fontId="15" fillId="0" borderId="1" xfId="0" applyNumberFormat="1" applyFont="1" applyBorder="1" applyAlignment="1">
      <alignment horizontal="right"/>
    </xf>
    <xf numFmtId="167" fontId="15" fillId="0" borderId="1" xfId="0" applyNumberFormat="1" applyFont="1" applyBorder="1" applyAlignment="1">
      <alignment horizontal="right"/>
    </xf>
    <xf numFmtId="0" fontId="10" fillId="0" borderId="0" xfId="0" applyFont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 wrapText="1"/>
    </xf>
    <xf numFmtId="169" fontId="2" fillId="3" borderId="1" xfId="1" applyNumberFormat="1" applyFont="1" applyFill="1" applyBorder="1" applyAlignment="1">
      <alignment vertical="top"/>
    </xf>
    <xf numFmtId="0" fontId="15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3" borderId="1" xfId="1" applyNumberFormat="1" applyFont="1" applyFill="1" applyBorder="1" applyAlignment="1">
      <alignment horizontal="center" vertical="top"/>
    </xf>
    <xf numFmtId="169" fontId="3" fillId="3" borderId="1" xfId="1" applyNumberFormat="1" applyFont="1" applyFill="1" applyBorder="1" applyAlignment="1">
      <alignment horizontal="left" vertical="top"/>
    </xf>
    <xf numFmtId="169" fontId="3" fillId="3" borderId="1" xfId="1" applyNumberFormat="1" applyFont="1" applyFill="1" applyBorder="1" applyAlignment="1">
      <alignment vertical="top"/>
    </xf>
    <xf numFmtId="0" fontId="15" fillId="3" borderId="1" xfId="0" applyFont="1" applyFill="1" applyBorder="1"/>
    <xf numFmtId="0" fontId="19" fillId="3" borderId="1" xfId="0" applyFont="1" applyFill="1" applyBorder="1" applyAlignment="1">
      <alignment horizontal="left" vertical="top"/>
    </xf>
    <xf numFmtId="1" fontId="15" fillId="3" borderId="1" xfId="0" applyNumberFormat="1" applyFont="1" applyFill="1" applyBorder="1" applyAlignment="1">
      <alignment horizontal="left" vertical="top"/>
    </xf>
    <xf numFmtId="0" fontId="21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22" fillId="3" borderId="1" xfId="0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0" fontId="15" fillId="3" borderId="1" xfId="0" applyFont="1" applyFill="1" applyBorder="1" applyAlignment="1">
      <alignment horizontal="right" vertical="top"/>
    </xf>
    <xf numFmtId="15" fontId="15" fillId="3" borderId="1" xfId="0" applyNumberFormat="1" applyFont="1" applyFill="1" applyBorder="1" applyAlignment="1">
      <alignment horizontal="right" vertical="top" wrapText="1"/>
    </xf>
    <xf numFmtId="49" fontId="15" fillId="7" borderId="1" xfId="0" applyNumberFormat="1" applyFont="1" applyFill="1" applyBorder="1" applyAlignment="1" applyProtection="1">
      <alignment horizontal="right" vertical="top"/>
      <protection locked="0"/>
    </xf>
    <xf numFmtId="15" fontId="2" fillId="3" borderId="1" xfId="0" applyNumberFormat="1" applyFont="1" applyFill="1" applyBorder="1" applyAlignment="1">
      <alignment horizontal="right" vertical="top" wrapText="1"/>
    </xf>
    <xf numFmtId="0" fontId="15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right"/>
    </xf>
    <xf numFmtId="15" fontId="15" fillId="3" borderId="1" xfId="0" applyNumberFormat="1" applyFont="1" applyFill="1" applyBorder="1" applyAlignment="1">
      <alignment horizontal="right" wrapText="1"/>
    </xf>
    <xf numFmtId="49" fontId="15" fillId="7" borderId="1" xfId="0" applyNumberFormat="1" applyFont="1" applyFill="1" applyBorder="1" applyAlignment="1" applyProtection="1">
      <alignment horizontal="left" vertical="top"/>
      <protection locked="0"/>
    </xf>
    <xf numFmtId="0" fontId="15" fillId="3" borderId="1" xfId="18" applyFont="1" applyFill="1" applyBorder="1" applyAlignment="1">
      <alignment horizontal="left" vertical="top"/>
    </xf>
    <xf numFmtId="0" fontId="15" fillId="3" borderId="3" xfId="0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166" fontId="15" fillId="3" borderId="1" xfId="0" applyNumberFormat="1" applyFont="1" applyFill="1" applyBorder="1" applyAlignment="1">
      <alignment horizontal="right" vertical="top" wrapText="1"/>
    </xf>
    <xf numFmtId="167" fontId="15" fillId="3" borderId="1" xfId="1" applyNumberFormat="1" applyFont="1" applyFill="1" applyBorder="1" applyAlignment="1">
      <alignment horizontal="right" vertical="top"/>
    </xf>
    <xf numFmtId="167" fontId="15" fillId="3" borderId="1" xfId="0" applyNumberFormat="1" applyFont="1" applyFill="1" applyBorder="1" applyAlignment="1">
      <alignment horizontal="right" vertical="top"/>
    </xf>
    <xf numFmtId="168" fontId="15" fillId="3" borderId="1" xfId="1" applyNumberFormat="1" applyFont="1" applyFill="1" applyBorder="1" applyAlignment="1">
      <alignment horizontal="left" vertical="top"/>
    </xf>
    <xf numFmtId="167" fontId="15" fillId="3" borderId="1" xfId="0" applyNumberFormat="1" applyFont="1" applyFill="1" applyBorder="1" applyAlignment="1">
      <alignment horizontal="righ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6" fontId="2" fillId="3" borderId="1" xfId="0" applyNumberFormat="1" applyFont="1" applyFill="1" applyBorder="1" applyAlignment="1">
      <alignment horizontal="right" vertical="top" wrapText="1"/>
    </xf>
    <xf numFmtId="167" fontId="2" fillId="3" borderId="1" xfId="0" applyNumberFormat="1" applyFont="1" applyFill="1" applyBorder="1" applyAlignment="1">
      <alignment horizontal="right" vertical="top"/>
    </xf>
    <xf numFmtId="167" fontId="15" fillId="3" borderId="1" xfId="0" applyNumberFormat="1" applyFont="1" applyFill="1" applyBorder="1" applyAlignment="1">
      <alignment horizontal="right"/>
    </xf>
    <xf numFmtId="0" fontId="15" fillId="3" borderId="1" xfId="0" applyFont="1" applyFill="1" applyBorder="1" applyAlignment="1">
      <alignment horizontal="left" wrapText="1"/>
    </xf>
    <xf numFmtId="166" fontId="15" fillId="3" borderId="1" xfId="0" applyNumberFormat="1" applyFont="1" applyFill="1" applyBorder="1" applyAlignment="1">
      <alignment horizontal="right" wrapText="1"/>
    </xf>
    <xf numFmtId="167" fontId="15" fillId="3" borderId="1" xfId="1" applyNumberFormat="1" applyFont="1" applyFill="1" applyBorder="1" applyAlignment="1">
      <alignment horizontal="right"/>
    </xf>
    <xf numFmtId="1" fontId="15" fillId="3" borderId="1" xfId="0" applyNumberFormat="1" applyFont="1" applyFill="1" applyBorder="1" applyAlignment="1">
      <alignment horizontal="right" wrapText="1"/>
    </xf>
    <xf numFmtId="1" fontId="15" fillId="3" borderId="1" xfId="0" applyNumberFormat="1" applyFont="1" applyFill="1" applyBorder="1" applyAlignment="1">
      <alignment horizontal="left" wrapText="1"/>
    </xf>
    <xf numFmtId="15" fontId="15" fillId="3" borderId="1" xfId="0" applyNumberFormat="1" applyFont="1" applyFill="1" applyBorder="1" applyAlignment="1">
      <alignment horizontal="left" vertical="top" wrapText="1"/>
    </xf>
    <xf numFmtId="0" fontId="19" fillId="3" borderId="3" xfId="0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horizontal="left" vertical="top" wrapText="1"/>
    </xf>
    <xf numFmtId="166" fontId="15" fillId="3" borderId="1" xfId="0" applyNumberFormat="1" applyFont="1" applyFill="1" applyBorder="1" applyAlignment="1">
      <alignment horizontal="right" vertical="top"/>
    </xf>
    <xf numFmtId="167" fontId="15" fillId="3" borderId="1" xfId="10" applyNumberFormat="1" applyFont="1" applyFill="1" applyBorder="1" applyAlignment="1">
      <alignment horizontal="right" vertical="top"/>
    </xf>
    <xf numFmtId="0" fontId="15" fillId="3" borderId="3" xfId="0" applyFont="1" applyFill="1" applyBorder="1" applyAlignment="1">
      <alignment horizontal="left" wrapText="1"/>
    </xf>
    <xf numFmtId="169" fontId="2" fillId="3" borderId="1" xfId="1" applyNumberFormat="1" applyFont="1" applyFill="1" applyBorder="1" applyAlignment="1">
      <alignment horizontal="left" vertical="top"/>
    </xf>
    <xf numFmtId="0" fontId="2" fillId="3" borderId="4" xfId="0" applyFont="1" applyFill="1" applyBorder="1" applyAlignment="1">
      <alignment vertical="center"/>
    </xf>
    <xf numFmtId="0" fontId="2" fillId="3" borderId="1" xfId="0" applyFont="1" applyFill="1" applyBorder="1"/>
    <xf numFmtId="0" fontId="3" fillId="3" borderId="1" xfId="0" applyFont="1" applyFill="1" applyBorder="1"/>
    <xf numFmtId="1" fontId="3" fillId="3" borderId="1" xfId="1" applyNumberFormat="1" applyFont="1" applyFill="1" applyBorder="1" applyAlignment="1">
      <alignment horizontal="center"/>
    </xf>
    <xf numFmtId="169" fontId="3" fillId="3" borderId="1" xfId="1" applyNumberFormat="1" applyFont="1" applyFill="1" applyBorder="1"/>
    <xf numFmtId="169" fontId="2" fillId="3" borderId="1" xfId="1" applyNumberFormat="1" applyFont="1" applyFill="1" applyBorder="1" applyAlignment="1"/>
    <xf numFmtId="169" fontId="3" fillId="3" borderId="1" xfId="1" applyNumberFormat="1" applyFont="1" applyFill="1" applyBorder="1" applyAlignment="1"/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/>
    </xf>
    <xf numFmtId="0" fontId="2" fillId="3" borderId="1" xfId="18" applyFont="1" applyFill="1" applyBorder="1" applyAlignment="1">
      <alignment horizontal="left"/>
    </xf>
    <xf numFmtId="15" fontId="2" fillId="3" borderId="1" xfId="0" applyNumberFormat="1" applyFont="1" applyFill="1" applyBorder="1" applyAlignment="1">
      <alignment horizontal="left" wrapText="1"/>
    </xf>
    <xf numFmtId="0" fontId="15" fillId="3" borderId="1" xfId="0" applyFont="1" applyFill="1" applyBorder="1" applyAlignment="1">
      <alignment horizontal="center" vertical="top"/>
    </xf>
    <xf numFmtId="49" fontId="15" fillId="3" borderId="1" xfId="0" applyNumberFormat="1" applyFont="1" applyFill="1" applyBorder="1" applyAlignment="1" applyProtection="1">
      <alignment horizontal="left" vertical="top"/>
      <protection locked="0"/>
    </xf>
    <xf numFmtId="15" fontId="15" fillId="3" borderId="1" xfId="0" applyNumberFormat="1" applyFont="1" applyFill="1" applyBorder="1" applyAlignment="1">
      <alignment horizontal="right" vertical="top"/>
    </xf>
    <xf numFmtId="0" fontId="15" fillId="3" borderId="4" xfId="0" applyFont="1" applyFill="1" applyBorder="1" applyAlignment="1">
      <alignment horizontal="left"/>
    </xf>
    <xf numFmtId="0" fontId="15" fillId="3" borderId="4" xfId="18" applyFont="1" applyFill="1" applyBorder="1" applyAlignment="1">
      <alignment horizontal="left"/>
    </xf>
    <xf numFmtId="15" fontId="15" fillId="3" borderId="4" xfId="0" applyNumberFormat="1" applyFont="1" applyFill="1" applyBorder="1" applyAlignment="1">
      <alignment horizontal="right" wrapText="1"/>
    </xf>
    <xf numFmtId="0" fontId="15" fillId="3" borderId="0" xfId="0" applyFont="1" applyFill="1"/>
    <xf numFmtId="0" fontId="15" fillId="3" borderId="1" xfId="18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67" fontId="15" fillId="3" borderId="1" xfId="6" applyNumberFormat="1" applyFont="1" applyFill="1" applyBorder="1" applyAlignment="1">
      <alignment horizontal="right"/>
    </xf>
    <xf numFmtId="0" fontId="15" fillId="3" borderId="3" xfId="0" applyFont="1" applyFill="1" applyBorder="1" applyAlignment="1">
      <alignment horizontal="left" vertical="top"/>
    </xf>
    <xf numFmtId="166" fontId="15" fillId="3" borderId="1" xfId="0" applyNumberFormat="1" applyFont="1" applyFill="1" applyBorder="1" applyAlignment="1">
      <alignment horizontal="right"/>
    </xf>
    <xf numFmtId="0" fontId="22" fillId="3" borderId="1" xfId="0" applyFont="1" applyFill="1" applyBorder="1" applyAlignment="1">
      <alignment vertical="center"/>
    </xf>
    <xf numFmtId="0" fontId="2" fillId="3" borderId="1" xfId="18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wrapText="1"/>
    </xf>
    <xf numFmtId="0" fontId="15" fillId="3" borderId="1" xfId="0" applyFont="1" applyFill="1" applyBorder="1" applyAlignment="1">
      <alignment horizontal="right" wrapText="1"/>
    </xf>
    <xf numFmtId="14" fontId="15" fillId="3" borderId="1" xfId="0" applyNumberFormat="1" applyFont="1" applyFill="1" applyBorder="1" applyAlignment="1">
      <alignment horizontal="right"/>
    </xf>
    <xf numFmtId="0" fontId="15" fillId="3" borderId="1" xfId="0" applyFont="1" applyFill="1" applyBorder="1" applyAlignment="1">
      <alignment horizontal="left" vertical="center"/>
    </xf>
    <xf numFmtId="0" fontId="2" fillId="3" borderId="1" xfId="18" applyFont="1" applyFill="1" applyBorder="1" applyAlignment="1">
      <alignment horizontal="left" vertical="top"/>
    </xf>
    <xf numFmtId="15" fontId="15" fillId="3" borderId="1" xfId="18" applyNumberFormat="1" applyFont="1" applyFill="1" applyBorder="1" applyAlignment="1">
      <alignment horizontal="right" wrapText="1"/>
    </xf>
    <xf numFmtId="0" fontId="18" fillId="3" borderId="1" xfId="0" applyFont="1" applyFill="1" applyBorder="1" applyAlignment="1">
      <alignment horizontal="left"/>
    </xf>
    <xf numFmtId="15" fontId="18" fillId="3" borderId="1" xfId="0" applyNumberFormat="1" applyFont="1" applyFill="1" applyBorder="1" applyAlignment="1">
      <alignment horizontal="right" wrapText="1"/>
    </xf>
    <xf numFmtId="0" fontId="15" fillId="3" borderId="3" xfId="0" applyFont="1" applyFill="1" applyBorder="1" applyAlignment="1">
      <alignment horizontal="left"/>
    </xf>
    <xf numFmtId="0" fontId="15" fillId="3" borderId="1" xfId="18" applyFont="1" applyFill="1" applyBorder="1" applyAlignment="1">
      <alignment horizontal="left" wrapText="1"/>
    </xf>
    <xf numFmtId="166" fontId="15" fillId="3" borderId="1" xfId="18" applyNumberFormat="1" applyFont="1" applyFill="1" applyBorder="1" applyAlignment="1">
      <alignment horizontal="right"/>
    </xf>
    <xf numFmtId="0" fontId="18" fillId="3" borderId="3" xfId="0" applyFont="1" applyFill="1" applyBorder="1" applyAlignment="1">
      <alignment horizontal="left" wrapText="1"/>
    </xf>
    <xf numFmtId="0" fontId="18" fillId="3" borderId="1" xfId="0" applyFont="1" applyFill="1" applyBorder="1" applyAlignment="1">
      <alignment horizontal="left" wrapText="1"/>
    </xf>
    <xf numFmtId="0" fontId="18" fillId="3" borderId="1" xfId="0" applyFont="1" applyFill="1" applyBorder="1" applyAlignment="1">
      <alignment horizontal="left" vertical="top"/>
    </xf>
    <xf numFmtId="166" fontId="18" fillId="3" borderId="1" xfId="0" applyNumberFormat="1" applyFont="1" applyFill="1" applyBorder="1" applyAlignment="1">
      <alignment horizontal="right" wrapText="1"/>
    </xf>
    <xf numFmtId="0" fontId="2" fillId="3" borderId="0" xfId="0" applyFont="1" applyFill="1"/>
    <xf numFmtId="169" fontId="2" fillId="3" borderId="1" xfId="1" applyNumberFormat="1" applyFont="1" applyFill="1" applyBorder="1" applyProtection="1"/>
    <xf numFmtId="0" fontId="22" fillId="3" borderId="1" xfId="0" applyFont="1" applyFill="1" applyBorder="1"/>
    <xf numFmtId="0" fontId="16" fillId="3" borderId="1" xfId="0" applyFont="1" applyFill="1" applyBorder="1" applyAlignment="1">
      <alignment wrapText="1"/>
    </xf>
    <xf numFmtId="0" fontId="16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0" fontId="16" fillId="3" borderId="1" xfId="0" applyFont="1" applyFill="1" applyBorder="1" applyAlignment="1">
      <alignment horizontal="left" wrapText="1"/>
    </xf>
    <xf numFmtId="0" fontId="1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top" wrapText="1"/>
    </xf>
    <xf numFmtId="0" fontId="18" fillId="3" borderId="1" xfId="0" applyFont="1" applyFill="1" applyBorder="1" applyAlignment="1">
      <alignment vertical="top"/>
    </xf>
    <xf numFmtId="41" fontId="2" fillId="3" borderId="1" xfId="3" applyFont="1" applyFill="1" applyBorder="1" applyAlignment="1" applyProtection="1">
      <alignment vertical="top" wrapText="1"/>
    </xf>
    <xf numFmtId="44" fontId="2" fillId="3" borderId="1" xfId="13" applyFont="1" applyFill="1" applyBorder="1" applyAlignment="1">
      <alignment vertical="top" wrapText="1"/>
    </xf>
    <xf numFmtId="0" fontId="18" fillId="3" borderId="1" xfId="0" applyFont="1" applyFill="1" applyBorder="1" applyAlignment="1">
      <alignment vertical="top" wrapText="1"/>
    </xf>
    <xf numFmtId="0" fontId="16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right"/>
    </xf>
    <xf numFmtId="0" fontId="18" fillId="3" borderId="0" xfId="0" applyFont="1" applyFill="1"/>
    <xf numFmtId="0" fontId="16" fillId="3" borderId="3" xfId="0" applyFont="1" applyFill="1" applyBorder="1" applyAlignment="1">
      <alignment horizontal="left" wrapText="1"/>
    </xf>
    <xf numFmtId="166" fontId="16" fillId="3" borderId="1" xfId="0" applyNumberFormat="1" applyFont="1" applyFill="1" applyBorder="1" applyAlignment="1">
      <alignment horizontal="right" wrapText="1"/>
    </xf>
    <xf numFmtId="167" fontId="16" fillId="3" borderId="1" xfId="0" applyNumberFormat="1" applyFont="1" applyFill="1" applyBorder="1" applyAlignment="1">
      <alignment horizontal="right" wrapText="1"/>
    </xf>
    <xf numFmtId="167" fontId="15" fillId="3" borderId="1" xfId="6" applyNumberFormat="1" applyFont="1" applyFill="1" applyBorder="1" applyAlignment="1">
      <alignment horizontal="right" vertical="top"/>
    </xf>
    <xf numFmtId="0" fontId="15" fillId="3" borderId="6" xfId="0" applyFont="1" applyFill="1" applyBorder="1" applyAlignment="1">
      <alignment horizontal="left" wrapText="1"/>
    </xf>
    <xf numFmtId="0" fontId="15" fillId="3" borderId="5" xfId="0" applyFont="1" applyFill="1" applyBorder="1" applyAlignment="1">
      <alignment horizontal="left" wrapText="1"/>
    </xf>
    <xf numFmtId="0" fontId="15" fillId="3" borderId="5" xfId="0" applyFont="1" applyFill="1" applyBorder="1" applyAlignment="1">
      <alignment horizontal="left" vertical="top"/>
    </xf>
    <xf numFmtId="15" fontId="15" fillId="3" borderId="1" xfId="0" applyNumberFormat="1" applyFont="1" applyFill="1" applyBorder="1"/>
    <xf numFmtId="0" fontId="3" fillId="3" borderId="1" xfId="3" applyNumberFormat="1" applyFont="1" applyFill="1" applyBorder="1" applyAlignment="1">
      <alignment vertical="top" wrapText="1"/>
    </xf>
    <xf numFmtId="169" fontId="3" fillId="3" borderId="1" xfId="6" applyNumberFormat="1" applyFont="1" applyFill="1" applyBorder="1" applyAlignment="1" applyProtection="1">
      <alignment vertical="top"/>
    </xf>
    <xf numFmtId="0" fontId="3" fillId="3" borderId="1" xfId="3" applyNumberFormat="1" applyFont="1" applyFill="1" applyBorder="1" applyAlignment="1" applyProtection="1">
      <alignment vertical="top" wrapText="1"/>
    </xf>
    <xf numFmtId="0" fontId="16" fillId="3" borderId="1" xfId="3" applyNumberFormat="1" applyFont="1" applyFill="1" applyBorder="1" applyAlignment="1" applyProtection="1">
      <alignment horizontal="center" vertical="top" wrapText="1"/>
    </xf>
    <xf numFmtId="0" fontId="2" fillId="3" borderId="1" xfId="18" applyFont="1" applyFill="1" applyBorder="1"/>
    <xf numFmtId="0" fontId="3" fillId="3" borderId="1" xfId="18" applyFont="1" applyFill="1" applyBorder="1"/>
    <xf numFmtId="0" fontId="3" fillId="3" borderId="1" xfId="18" applyFont="1" applyFill="1" applyBorder="1" applyAlignment="1">
      <alignment horizontal="center"/>
    </xf>
    <xf numFmtId="0" fontId="3" fillId="3" borderId="1" xfId="18" applyFont="1" applyFill="1" applyBorder="1" applyAlignment="1">
      <alignment horizontal="left" vertical="top"/>
    </xf>
    <xf numFmtId="0" fontId="2" fillId="3" borderId="1" xfId="18" applyFont="1" applyFill="1" applyBorder="1" applyAlignment="1">
      <alignment vertical="top"/>
    </xf>
    <xf numFmtId="15" fontId="2" fillId="3" borderId="1" xfId="0" applyNumberFormat="1" applyFont="1" applyFill="1" applyBorder="1" applyAlignment="1">
      <alignment horizontal="right" wrapText="1"/>
    </xf>
    <xf numFmtId="0" fontId="16" fillId="3" borderId="1" xfId="3" applyNumberFormat="1" applyFont="1" applyFill="1" applyBorder="1" applyAlignment="1" applyProtection="1">
      <alignment horizontal="right" vertical="top" wrapText="1"/>
    </xf>
    <xf numFmtId="15" fontId="2" fillId="3" borderId="1" xfId="18" applyNumberFormat="1" applyFont="1" applyFill="1" applyBorder="1" applyAlignment="1">
      <alignment horizontal="right" wrapText="1"/>
    </xf>
    <xf numFmtId="49" fontId="2" fillId="7" borderId="1" xfId="18" applyNumberFormat="1" applyFont="1" applyFill="1" applyBorder="1" applyAlignment="1" applyProtection="1">
      <alignment horizontal="left" vertical="top"/>
      <protection locked="0"/>
    </xf>
    <xf numFmtId="0" fontId="2" fillId="3" borderId="1" xfId="18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right" wrapText="1"/>
    </xf>
    <xf numFmtId="167" fontId="2" fillId="3" borderId="1" xfId="6" applyNumberFormat="1" applyFont="1" applyFill="1" applyBorder="1" applyAlignment="1">
      <alignment horizontal="right"/>
    </xf>
    <xf numFmtId="166" fontId="15" fillId="3" borderId="1" xfId="18" applyNumberFormat="1" applyFont="1" applyFill="1" applyBorder="1" applyAlignment="1">
      <alignment horizontal="right" wrapText="1"/>
    </xf>
    <xf numFmtId="0" fontId="16" fillId="3" borderId="3" xfId="3" applyNumberFormat="1" applyFont="1" applyFill="1" applyBorder="1" applyAlignment="1" applyProtection="1">
      <alignment horizontal="center" vertical="top" wrapText="1"/>
    </xf>
    <xf numFmtId="166" fontId="16" fillId="3" borderId="1" xfId="3" applyNumberFormat="1" applyFont="1" applyFill="1" applyBorder="1" applyAlignment="1" applyProtection="1">
      <alignment horizontal="right" vertical="top" wrapText="1"/>
    </xf>
    <xf numFmtId="167" fontId="16" fillId="3" borderId="1" xfId="3" applyNumberFormat="1" applyFont="1" applyFill="1" applyBorder="1" applyAlignment="1" applyProtection="1">
      <alignment horizontal="right" vertical="top" wrapText="1"/>
    </xf>
    <xf numFmtId="0" fontId="2" fillId="3" borderId="3" xfId="18" applyFont="1" applyFill="1" applyBorder="1" applyAlignment="1">
      <alignment horizontal="left" wrapText="1"/>
    </xf>
    <xf numFmtId="0" fontId="2" fillId="3" borderId="1" xfId="18" applyFont="1" applyFill="1" applyBorder="1" applyAlignment="1">
      <alignment horizontal="left" wrapText="1"/>
    </xf>
    <xf numFmtId="166" fontId="2" fillId="3" borderId="1" xfId="18" applyNumberFormat="1" applyFont="1" applyFill="1" applyBorder="1" applyAlignment="1">
      <alignment horizontal="right" wrapText="1"/>
    </xf>
    <xf numFmtId="0" fontId="18" fillId="3" borderId="1" xfId="18" applyFont="1" applyFill="1" applyBorder="1"/>
    <xf numFmtId="0" fontId="2" fillId="3" borderId="1" xfId="18" applyFont="1" applyFill="1" applyBorder="1" applyAlignment="1">
      <alignment wrapText="1"/>
    </xf>
    <xf numFmtId="0" fontId="17" fillId="3" borderId="1" xfId="18" applyFont="1" applyFill="1" applyBorder="1"/>
    <xf numFmtId="0" fontId="18" fillId="3" borderId="1" xfId="18" applyFont="1" applyFill="1" applyBorder="1" applyAlignment="1">
      <alignment horizontal="left" vertical="top"/>
    </xf>
    <xf numFmtId="0" fontId="17" fillId="3" borderId="1" xfId="18" applyFont="1" applyFill="1" applyBorder="1" applyAlignment="1">
      <alignment wrapText="1"/>
    </xf>
    <xf numFmtId="0" fontId="3" fillId="3" borderId="1" xfId="18" applyFont="1" applyFill="1" applyBorder="1" applyAlignment="1">
      <alignment wrapText="1"/>
    </xf>
    <xf numFmtId="0" fontId="3" fillId="3" borderId="1" xfId="18" applyFont="1" applyFill="1" applyBorder="1" applyAlignment="1">
      <alignment horizontal="left" wrapText="1"/>
    </xf>
    <xf numFmtId="0" fontId="17" fillId="3" borderId="1" xfId="18" applyFont="1" applyFill="1" applyBorder="1" applyAlignment="1">
      <alignment horizontal="left" wrapText="1"/>
    </xf>
    <xf numFmtId="167" fontId="2" fillId="3" borderId="1" xfId="18" applyNumberFormat="1" applyFont="1" applyFill="1" applyBorder="1" applyAlignment="1">
      <alignment horizontal="right"/>
    </xf>
    <xf numFmtId="0" fontId="18" fillId="3" borderId="0" xfId="0" applyFont="1" applyFill="1" applyAlignment="1">
      <alignment horizontal="right"/>
    </xf>
    <xf numFmtId="0" fontId="18" fillId="3" borderId="1" xfId="18" applyFont="1" applyFill="1" applyBorder="1" applyAlignment="1">
      <alignment horizontal="left"/>
    </xf>
    <xf numFmtId="15" fontId="18" fillId="3" borderId="1" xfId="18" applyNumberFormat="1" applyFont="1" applyFill="1" applyBorder="1" applyAlignment="1">
      <alignment horizontal="right" wrapText="1"/>
    </xf>
    <xf numFmtId="0" fontId="17" fillId="3" borderId="1" xfId="18" applyFont="1" applyFill="1" applyBorder="1" applyAlignment="1">
      <alignment horizontal="right" wrapText="1"/>
    </xf>
    <xf numFmtId="49" fontId="2" fillId="3" borderId="1" xfId="18" applyNumberFormat="1" applyFont="1" applyFill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>
      <alignment horizontal="right" wrapText="1"/>
    </xf>
    <xf numFmtId="166" fontId="2" fillId="3" borderId="1" xfId="18" applyNumberFormat="1" applyFont="1" applyFill="1" applyBorder="1" applyAlignment="1">
      <alignment horizontal="right"/>
    </xf>
    <xf numFmtId="0" fontId="2" fillId="3" borderId="3" xfId="0" applyFont="1" applyFill="1" applyBorder="1" applyAlignment="1">
      <alignment horizontal="left" wrapText="1"/>
    </xf>
    <xf numFmtId="167" fontId="2" fillId="3" borderId="1" xfId="0" applyNumberFormat="1" applyFont="1" applyFill="1" applyBorder="1" applyAlignment="1">
      <alignment horizontal="right"/>
    </xf>
    <xf numFmtId="0" fontId="2" fillId="3" borderId="3" xfId="18" applyFont="1" applyFill="1" applyBorder="1" applyAlignment="1">
      <alignment horizontal="left"/>
    </xf>
    <xf numFmtId="15" fontId="2" fillId="3" borderId="1" xfId="0" applyNumberFormat="1" applyFont="1" applyFill="1" applyBorder="1"/>
    <xf numFmtId="167" fontId="2" fillId="3" borderId="1" xfId="1" applyNumberFormat="1" applyFont="1" applyFill="1" applyBorder="1" applyAlignment="1">
      <alignment horizontal="right"/>
    </xf>
    <xf numFmtId="0" fontId="18" fillId="3" borderId="1" xfId="0" applyFont="1" applyFill="1" applyBorder="1"/>
    <xf numFmtId="166" fontId="18" fillId="3" borderId="1" xfId="18" applyNumberFormat="1" applyFont="1" applyFill="1" applyBorder="1" applyAlignment="1">
      <alignment horizontal="right" wrapText="1"/>
    </xf>
    <xf numFmtId="167" fontId="18" fillId="3" borderId="1" xfId="6" applyNumberFormat="1" applyFont="1" applyFill="1" applyBorder="1" applyAlignment="1">
      <alignment horizontal="right"/>
    </xf>
    <xf numFmtId="0" fontId="18" fillId="3" borderId="3" xfId="18" applyFont="1" applyFill="1" applyBorder="1" applyAlignment="1">
      <alignment horizontal="left" wrapText="1"/>
    </xf>
    <xf numFmtId="0" fontId="18" fillId="3" borderId="1" xfId="18" applyFont="1" applyFill="1" applyBorder="1" applyAlignment="1">
      <alignment horizontal="left" wrapText="1"/>
    </xf>
    <xf numFmtId="0" fontId="17" fillId="3" borderId="3" xfId="18" applyFont="1" applyFill="1" applyBorder="1" applyAlignment="1">
      <alignment horizontal="left" wrapText="1"/>
    </xf>
    <xf numFmtId="166" fontId="3" fillId="3" borderId="1" xfId="0" applyNumberFormat="1" applyFont="1" applyFill="1" applyBorder="1" applyAlignment="1">
      <alignment horizontal="right" wrapText="1"/>
    </xf>
    <xf numFmtId="167" fontId="3" fillId="3" borderId="1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/>
    </xf>
    <xf numFmtId="0" fontId="17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/>
    </xf>
    <xf numFmtId="0" fontId="26" fillId="3" borderId="1" xfId="0" applyFont="1" applyFill="1" applyBorder="1" applyAlignment="1">
      <alignment horizontal="left" vertical="top"/>
    </xf>
    <xf numFmtId="15" fontId="26" fillId="3" borderId="1" xfId="0" applyNumberFormat="1" applyFont="1" applyFill="1" applyBorder="1" applyAlignment="1">
      <alignment horizontal="right" wrapText="1"/>
    </xf>
    <xf numFmtId="167" fontId="16" fillId="3" borderId="1" xfId="0" applyNumberFormat="1" applyFont="1" applyFill="1" applyBorder="1" applyAlignment="1">
      <alignment horizontal="right" vertical="top"/>
    </xf>
    <xf numFmtId="0" fontId="26" fillId="3" borderId="3" xfId="0" applyFont="1" applyFill="1" applyBorder="1" applyAlignment="1">
      <alignment horizontal="left" wrapText="1"/>
    </xf>
    <xf numFmtId="0" fontId="26" fillId="3" borderId="1" xfId="0" applyFont="1" applyFill="1" applyBorder="1" applyAlignment="1">
      <alignment horizontal="left" wrapText="1"/>
    </xf>
    <xf numFmtId="166" fontId="26" fillId="3" borderId="1" xfId="0" applyNumberFormat="1" applyFont="1" applyFill="1" applyBorder="1" applyAlignment="1">
      <alignment horizontal="right" wrapText="1"/>
    </xf>
    <xf numFmtId="167" fontId="26" fillId="3" borderId="1" xfId="0" applyNumberFormat="1" applyFont="1" applyFill="1" applyBorder="1" applyAlignment="1">
      <alignment horizontal="right"/>
    </xf>
    <xf numFmtId="167" fontId="26" fillId="3" borderId="1" xfId="0" applyNumberFormat="1" applyFont="1" applyFill="1" applyBorder="1" applyAlignment="1">
      <alignment horizontal="right" vertical="top"/>
    </xf>
    <xf numFmtId="169" fontId="2" fillId="3" borderId="1" xfId="1" applyNumberFormat="1" applyFont="1" applyFill="1" applyBorder="1" applyAlignment="1">
      <alignment horizontal="center"/>
    </xf>
    <xf numFmtId="169" fontId="2" fillId="3" borderId="1" xfId="1" applyNumberFormat="1" applyFont="1" applyFill="1" applyBorder="1"/>
    <xf numFmtId="169" fontId="18" fillId="3" borderId="1" xfId="1" applyNumberFormat="1" applyFont="1" applyFill="1" applyBorder="1" applyAlignment="1" applyProtection="1"/>
    <xf numFmtId="169" fontId="18" fillId="3" borderId="1" xfId="1" applyNumberFormat="1" applyFont="1" applyFill="1" applyBorder="1" applyAlignment="1">
      <alignment vertical="center" wrapText="1"/>
    </xf>
    <xf numFmtId="167" fontId="15" fillId="3" borderId="1" xfId="0" applyNumberFormat="1" applyFont="1" applyFill="1" applyBorder="1" applyAlignment="1">
      <alignment horizontal="right" wrapText="1"/>
    </xf>
    <xf numFmtId="0" fontId="15" fillId="3" borderId="3" xfId="0" applyFont="1" applyFill="1" applyBorder="1"/>
    <xf numFmtId="0" fontId="3" fillId="3" borderId="1" xfId="1" applyNumberFormat="1" applyFont="1" applyFill="1" applyBorder="1" applyAlignment="1"/>
    <xf numFmtId="169" fontId="18" fillId="3" borderId="1" xfId="1" applyNumberFormat="1" applyFont="1" applyFill="1" applyBorder="1" applyAlignment="1"/>
    <xf numFmtId="15" fontId="15" fillId="3" borderId="1" xfId="0" applyNumberFormat="1" applyFont="1" applyFill="1" applyBorder="1" applyAlignment="1">
      <alignment horizontal="left" wrapText="1"/>
    </xf>
    <xf numFmtId="0" fontId="18" fillId="3" borderId="1" xfId="0" applyFont="1" applyFill="1" applyBorder="1" applyAlignment="1">
      <alignment vertical="center" wrapText="1"/>
    </xf>
    <xf numFmtId="169" fontId="15" fillId="3" borderId="1" xfId="1" applyNumberFormat="1" applyFont="1" applyFill="1" applyBorder="1"/>
    <xf numFmtId="166" fontId="15" fillId="3" borderId="1" xfId="1" applyNumberFormat="1" applyFont="1" applyFill="1" applyBorder="1" applyAlignment="1">
      <alignment horizontal="right"/>
    </xf>
    <xf numFmtId="0" fontId="2" fillId="3" borderId="7" xfId="0" applyFont="1" applyFill="1" applyBorder="1" applyAlignment="1">
      <alignment horizontal="center" vertical="top"/>
    </xf>
    <xf numFmtId="164" fontId="2" fillId="3" borderId="1" xfId="2" applyFont="1" applyFill="1" applyBorder="1" applyAlignment="1" applyProtection="1">
      <alignment vertical="top" wrapText="1"/>
    </xf>
    <xf numFmtId="169" fontId="2" fillId="3" borderId="1" xfId="1" applyNumberFormat="1" applyFont="1" applyFill="1" applyBorder="1" applyAlignment="1" applyProtection="1">
      <alignment vertical="top"/>
    </xf>
    <xf numFmtId="164" fontId="3" fillId="3" borderId="1" xfId="2" applyFont="1" applyFill="1" applyBorder="1" applyAlignment="1">
      <alignment vertical="top" wrapText="1"/>
    </xf>
    <xf numFmtId="0" fontId="4" fillId="3" borderId="1" xfId="0" applyFont="1" applyFill="1" applyBorder="1" applyAlignment="1">
      <alignment vertical="center"/>
    </xf>
    <xf numFmtId="169" fontId="4" fillId="3" borderId="1" xfId="1" applyNumberFormat="1" applyFont="1" applyFill="1" applyBorder="1"/>
    <xf numFmtId="0" fontId="4" fillId="3" borderId="1" xfId="0" applyFont="1" applyFill="1" applyBorder="1" applyAlignment="1">
      <alignment horizontal="left" vertical="top"/>
    </xf>
    <xf numFmtId="0" fontId="2" fillId="3" borderId="3" xfId="0" applyFont="1" applyFill="1" applyBorder="1"/>
    <xf numFmtId="0" fontId="3" fillId="3" borderId="3" xfId="0" applyFont="1" applyFill="1" applyBorder="1" applyAlignment="1">
      <alignment vertical="top"/>
    </xf>
    <xf numFmtId="0" fontId="3" fillId="3" borderId="1" xfId="2" applyNumberFormat="1" applyFont="1" applyFill="1" applyBorder="1" applyAlignment="1" applyProtection="1">
      <alignment horizontal="center" vertical="top"/>
    </xf>
    <xf numFmtId="0" fontId="3" fillId="3" borderId="1" xfId="2" applyNumberFormat="1" applyFont="1" applyFill="1" applyBorder="1" applyAlignment="1" applyProtection="1">
      <alignment vertical="top" wrapText="1"/>
    </xf>
    <xf numFmtId="0" fontId="16" fillId="3" borderId="1" xfId="2" applyNumberFormat="1" applyFont="1" applyFill="1" applyBorder="1" applyAlignment="1" applyProtection="1">
      <alignment horizontal="center" vertical="top" wrapText="1"/>
    </xf>
    <xf numFmtId="0" fontId="15" fillId="3" borderId="1" xfId="0" applyFont="1" applyFill="1" applyBorder="1" applyAlignment="1">
      <alignment horizontal="center"/>
    </xf>
    <xf numFmtId="15" fontId="15" fillId="3" borderId="1" xfId="0" applyNumberFormat="1" applyFont="1" applyFill="1" applyBorder="1" applyAlignment="1">
      <alignment horizontal="right"/>
    </xf>
    <xf numFmtId="0" fontId="16" fillId="3" borderId="1" xfId="2" applyNumberFormat="1" applyFont="1" applyFill="1" applyBorder="1" applyAlignment="1" applyProtection="1">
      <alignment horizontal="right" vertical="top" wrapText="1"/>
    </xf>
    <xf numFmtId="0" fontId="16" fillId="3" borderId="3" xfId="2" applyNumberFormat="1" applyFont="1" applyFill="1" applyBorder="1" applyAlignment="1" applyProtection="1">
      <alignment horizontal="center" vertical="top" wrapText="1"/>
    </xf>
    <xf numFmtId="166" fontId="16" fillId="3" borderId="1" xfId="2" applyNumberFormat="1" applyFont="1" applyFill="1" applyBorder="1" applyAlignment="1" applyProtection="1">
      <alignment horizontal="right" vertical="top" wrapText="1"/>
    </xf>
    <xf numFmtId="167" fontId="16" fillId="3" borderId="1" xfId="2" applyNumberFormat="1" applyFont="1" applyFill="1" applyBorder="1" applyAlignment="1" applyProtection="1">
      <alignment horizontal="right" vertical="top" wrapText="1"/>
    </xf>
    <xf numFmtId="0" fontId="15" fillId="3" borderId="1" xfId="0" applyFont="1" applyFill="1" applyBorder="1" applyAlignment="1">
      <alignment vertical="center"/>
    </xf>
    <xf numFmtId="170" fontId="15" fillId="3" borderId="1" xfId="0" applyNumberFormat="1" applyFont="1" applyFill="1" applyBorder="1" applyAlignment="1">
      <alignment horizontal="right" vertical="top" wrapText="1"/>
    </xf>
    <xf numFmtId="0" fontId="28" fillId="3" borderId="1" xfId="18" applyFont="1" applyFill="1" applyBorder="1" applyAlignment="1">
      <alignment horizontal="left"/>
    </xf>
    <xf numFmtId="0" fontId="15" fillId="3" borderId="3" xfId="0" applyFont="1" applyFill="1" applyBorder="1" applyAlignment="1">
      <alignment wrapText="1"/>
    </xf>
    <xf numFmtId="0" fontId="15" fillId="3" borderId="1" xfId="0" applyFont="1" applyFill="1" applyBorder="1" applyAlignment="1">
      <alignment vertical="top" wrapText="1"/>
    </xf>
    <xf numFmtId="167" fontId="15" fillId="3" borderId="3" xfId="0" applyNumberFormat="1" applyFont="1" applyFill="1" applyBorder="1" applyAlignment="1">
      <alignment horizontal="left" wrapText="1"/>
    </xf>
    <xf numFmtId="167" fontId="15" fillId="3" borderId="1" xfId="0" applyNumberFormat="1" applyFont="1" applyFill="1" applyBorder="1" applyAlignment="1">
      <alignment horizontal="left" wrapText="1"/>
    </xf>
    <xf numFmtId="167" fontId="15" fillId="3" borderId="1" xfId="0" applyNumberFormat="1" applyFont="1" applyFill="1" applyBorder="1" applyAlignment="1">
      <alignment horizontal="left" vertical="top"/>
    </xf>
    <xf numFmtId="49" fontId="15" fillId="7" borderId="1" xfId="0" applyNumberFormat="1" applyFont="1" applyFill="1" applyBorder="1" applyAlignment="1" applyProtection="1">
      <alignment horizontal="center" vertical="top"/>
      <protection locked="0"/>
    </xf>
    <xf numFmtId="49" fontId="2" fillId="7" borderId="1" xfId="0" applyNumberFormat="1" applyFont="1" applyFill="1" applyBorder="1" applyAlignment="1" applyProtection="1">
      <alignment horizontal="left" vertical="top"/>
      <protection locked="0"/>
    </xf>
    <xf numFmtId="166" fontId="15" fillId="3" borderId="5" xfId="0" applyNumberFormat="1" applyFont="1" applyFill="1" applyBorder="1" applyAlignment="1">
      <alignment horizontal="right" wrapText="1"/>
    </xf>
    <xf numFmtId="0" fontId="2" fillId="3" borderId="5" xfId="0" applyFont="1" applyFill="1" applyBorder="1" applyAlignment="1">
      <alignment vertical="center"/>
    </xf>
    <xf numFmtId="0" fontId="16" fillId="3" borderId="1" xfId="0" applyFont="1" applyFill="1" applyBorder="1"/>
    <xf numFmtId="0" fontId="15" fillId="3" borderId="5" xfId="0" applyFont="1" applyFill="1" applyBorder="1" applyAlignment="1">
      <alignment horizontal="left"/>
    </xf>
    <xf numFmtId="0" fontId="15" fillId="3" borderId="5" xfId="18" applyFont="1" applyFill="1" applyBorder="1" applyAlignment="1">
      <alignment horizontal="left"/>
    </xf>
    <xf numFmtId="15" fontId="15" fillId="3" borderId="5" xfId="0" applyNumberFormat="1" applyFont="1" applyFill="1" applyBorder="1" applyAlignment="1">
      <alignment horizontal="right" wrapText="1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/>
    </xf>
    <xf numFmtId="15" fontId="15" fillId="3" borderId="3" xfId="0" applyNumberFormat="1" applyFont="1" applyFill="1" applyBorder="1" applyAlignment="1">
      <alignment horizontal="right" wrapText="1"/>
    </xf>
    <xf numFmtId="15" fontId="15" fillId="3" borderId="1" xfId="0" applyNumberFormat="1" applyFont="1" applyFill="1" applyBorder="1" applyAlignment="1">
      <alignment horizontal="right" vertical="center"/>
    </xf>
    <xf numFmtId="0" fontId="22" fillId="3" borderId="1" xfId="0" applyFont="1" applyFill="1" applyBorder="1" applyAlignment="1">
      <alignment horizontal="left" vertical="top"/>
    </xf>
    <xf numFmtId="49" fontId="15" fillId="7" borderId="1" xfId="0" quotePrefix="1" applyNumberFormat="1" applyFont="1" applyFill="1" applyBorder="1" applyAlignment="1" applyProtection="1">
      <alignment horizontal="left" vertical="top"/>
      <protection locked="0"/>
    </xf>
    <xf numFmtId="49" fontId="15" fillId="3" borderId="1" xfId="0" quotePrefix="1" applyNumberFormat="1" applyFont="1" applyFill="1" applyBorder="1" applyAlignment="1" applyProtection="1">
      <alignment horizontal="left" vertical="top"/>
      <protection locked="0"/>
    </xf>
    <xf numFmtId="49" fontId="15" fillId="7" borderId="1" xfId="18" quotePrefix="1" applyNumberFormat="1" applyFont="1" applyFill="1" applyBorder="1" applyAlignment="1" applyProtection="1">
      <alignment horizontal="left" vertical="top"/>
      <protection locked="0"/>
    </xf>
    <xf numFmtId="49" fontId="18" fillId="7" borderId="1" xfId="0" quotePrefix="1" applyNumberFormat="1" applyFont="1" applyFill="1" applyBorder="1" applyAlignment="1" applyProtection="1">
      <alignment horizontal="left" vertical="top"/>
      <protection locked="0"/>
    </xf>
    <xf numFmtId="49" fontId="2" fillId="7" borderId="1" xfId="18" quotePrefix="1" applyNumberFormat="1" applyFont="1" applyFill="1" applyBorder="1" applyAlignment="1" applyProtection="1">
      <alignment horizontal="left" vertical="top"/>
      <protection locked="0"/>
    </xf>
    <xf numFmtId="49" fontId="15" fillId="7" borderId="1" xfId="0" quotePrefix="1" applyNumberFormat="1" applyFont="1" applyFill="1" applyBorder="1" applyAlignment="1" applyProtection="1">
      <alignment horizontal="center" vertical="top"/>
      <protection locked="0"/>
    </xf>
    <xf numFmtId="0" fontId="10" fillId="5" borderId="0" xfId="0" applyFont="1" applyFill="1"/>
    <xf numFmtId="15" fontId="15" fillId="3" borderId="0" xfId="0" applyNumberFormat="1" applyFont="1" applyFill="1"/>
    <xf numFmtId="0" fontId="32" fillId="3" borderId="0" xfId="0" applyFont="1" applyFill="1"/>
    <xf numFmtId="0" fontId="15" fillId="3" borderId="0" xfId="0" applyFont="1" applyFill="1" applyAlignment="1">
      <alignment horizontal="left" vertical="top"/>
    </xf>
    <xf numFmtId="0" fontId="15" fillId="3" borderId="0" xfId="0" applyFont="1" applyFill="1" applyAlignment="1">
      <alignment horizontal="left"/>
    </xf>
    <xf numFmtId="15" fontId="15" fillId="3" borderId="0" xfId="0" applyNumberFormat="1" applyFont="1" applyFill="1" applyAlignment="1">
      <alignment horizontal="right" wrapText="1"/>
    </xf>
    <xf numFmtId="0" fontId="15" fillId="3" borderId="0" xfId="0" applyFont="1" applyFill="1" applyAlignment="1">
      <alignment horizontal="left" wrapText="1"/>
    </xf>
    <xf numFmtId="166" fontId="15" fillId="3" borderId="0" xfId="0" applyNumberFormat="1" applyFont="1" applyFill="1" applyAlignment="1">
      <alignment horizontal="right" wrapText="1"/>
    </xf>
    <xf numFmtId="0" fontId="2" fillId="3" borderId="2" xfId="0" applyFont="1" applyFill="1" applyBorder="1"/>
    <xf numFmtId="0" fontId="35" fillId="3" borderId="1" xfId="0" applyFont="1" applyFill="1" applyBorder="1" applyAlignment="1">
      <alignment horizontal="center"/>
    </xf>
    <xf numFmtId="0" fontId="13" fillId="3" borderId="1" xfId="0" applyFont="1" applyFill="1" applyBorder="1"/>
    <xf numFmtId="0" fontId="24" fillId="3" borderId="1" xfId="18" applyFont="1" applyFill="1" applyBorder="1"/>
    <xf numFmtId="166" fontId="16" fillId="3" borderId="1" xfId="0" applyNumberFormat="1" applyFont="1" applyFill="1" applyBorder="1" applyAlignment="1">
      <alignment horizontal="right"/>
    </xf>
    <xf numFmtId="167" fontId="16" fillId="3" borderId="1" xfId="0" applyNumberFormat="1" applyFont="1" applyFill="1" applyBorder="1" applyAlignment="1">
      <alignment horizontal="right"/>
    </xf>
    <xf numFmtId="2" fontId="15" fillId="3" borderId="1" xfId="0" applyNumberFormat="1" applyFont="1" applyFill="1" applyBorder="1" applyAlignment="1">
      <alignment horizontal="right"/>
    </xf>
    <xf numFmtId="170" fontId="15" fillId="3" borderId="1" xfId="0" applyNumberFormat="1" applyFont="1" applyFill="1" applyBorder="1" applyAlignment="1">
      <alignment horizontal="right"/>
    </xf>
    <xf numFmtId="166" fontId="15" fillId="3" borderId="1" xfId="0" applyNumberFormat="1" applyFont="1" applyFill="1" applyBorder="1" applyAlignment="1">
      <alignment horizontal="left"/>
    </xf>
    <xf numFmtId="0" fontId="31" fillId="3" borderId="0" xfId="0" applyFont="1" applyFill="1"/>
    <xf numFmtId="167" fontId="15" fillId="3" borderId="1" xfId="0" applyNumberFormat="1" applyFont="1" applyFill="1" applyBorder="1"/>
    <xf numFmtId="49" fontId="2" fillId="3" borderId="1" xfId="0" applyNumberFormat="1" applyFont="1" applyFill="1" applyBorder="1"/>
    <xf numFmtId="169" fontId="2" fillId="3" borderId="1" xfId="1" applyNumberFormat="1" applyFont="1" applyFill="1" applyBorder="1" applyAlignment="1" applyProtection="1"/>
    <xf numFmtId="0" fontId="23" fillId="3" borderId="1" xfId="0" applyFont="1" applyFill="1" applyBorder="1"/>
    <xf numFmtId="0" fontId="10" fillId="3" borderId="1" xfId="0" applyFont="1" applyFill="1" applyBorder="1" applyAlignment="1">
      <alignment horizontal="center"/>
    </xf>
    <xf numFmtId="37" fontId="2" fillId="3" borderId="1" xfId="0" applyNumberFormat="1" applyFont="1" applyFill="1" applyBorder="1" applyAlignment="1">
      <alignment horizontal="left" vertical="top"/>
    </xf>
    <xf numFmtId="1" fontId="3" fillId="3" borderId="1" xfId="1" applyNumberFormat="1" applyFont="1" applyFill="1" applyBorder="1" applyAlignment="1">
      <alignment horizontal="left" vertical="top"/>
    </xf>
    <xf numFmtId="0" fontId="15" fillId="3" borderId="8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/>
    </xf>
    <xf numFmtId="167" fontId="18" fillId="3" borderId="1" xfId="1" applyNumberFormat="1" applyFont="1" applyFill="1" applyBorder="1" applyAlignment="1">
      <alignment horizontal="right"/>
    </xf>
    <xf numFmtId="0" fontId="34" fillId="3" borderId="0" xfId="0" applyFont="1" applyFill="1" applyAlignment="1">
      <alignment horizontal="center"/>
    </xf>
    <xf numFmtId="0" fontId="2" fillId="3" borderId="3" xfId="18" applyFont="1" applyFill="1" applyBorder="1" applyAlignment="1">
      <alignment vertical="center"/>
    </xf>
    <xf numFmtId="0" fontId="2" fillId="3" borderId="3" xfId="18" applyFont="1" applyFill="1" applyBorder="1" applyAlignment="1">
      <alignment vertical="top"/>
    </xf>
    <xf numFmtId="167" fontId="2" fillId="3" borderId="1" xfId="0" applyNumberFormat="1" applyFont="1" applyFill="1" applyBorder="1"/>
    <xf numFmtId="167" fontId="18" fillId="3" borderId="1" xfId="0" applyNumberFormat="1" applyFont="1" applyFill="1" applyBorder="1" applyAlignment="1">
      <alignment horizontal="right"/>
    </xf>
    <xf numFmtId="0" fontId="16" fillId="3" borderId="1" xfId="0" applyFont="1" applyFill="1" applyBorder="1" applyAlignment="1">
      <alignment horizontal="right"/>
    </xf>
    <xf numFmtId="0" fontId="16" fillId="3" borderId="3" xfId="0" applyFont="1" applyFill="1" applyBorder="1"/>
    <xf numFmtId="15" fontId="2" fillId="3" borderId="1" xfId="1" applyNumberFormat="1" applyFont="1" applyFill="1" applyBorder="1" applyAlignment="1">
      <alignment horizontal="left"/>
    </xf>
    <xf numFmtId="0" fontId="31" fillId="3" borderId="1" xfId="0" applyFont="1" applyFill="1" applyBorder="1" applyAlignment="1">
      <alignment vertical="center" wrapText="1"/>
    </xf>
    <xf numFmtId="15" fontId="15" fillId="3" borderId="0" xfId="0" applyNumberFormat="1" applyFont="1" applyFill="1" applyAlignment="1">
      <alignment horizontal="right"/>
    </xf>
    <xf numFmtId="0" fontId="35" fillId="3" borderId="1" xfId="0" applyFont="1" applyFill="1" applyBorder="1"/>
    <xf numFmtId="0" fontId="2" fillId="3" borderId="5" xfId="0" applyFont="1" applyFill="1" applyBorder="1" applyAlignment="1">
      <alignment vertical="center" wrapText="1"/>
    </xf>
    <xf numFmtId="0" fontId="15" fillId="3" borderId="5" xfId="0" applyFont="1" applyFill="1" applyBorder="1"/>
    <xf numFmtId="0" fontId="15" fillId="3" borderId="5" xfId="0" applyFont="1" applyFill="1" applyBorder="1" applyAlignment="1">
      <alignment horizontal="center" vertical="top"/>
    </xf>
    <xf numFmtId="167" fontId="15" fillId="3" borderId="5" xfId="6" applyNumberFormat="1" applyFont="1" applyFill="1" applyBorder="1" applyAlignment="1">
      <alignment horizontal="right"/>
    </xf>
    <xf numFmtId="0" fontId="29" fillId="3" borderId="0" xfId="0" applyFont="1" applyFill="1"/>
    <xf numFmtId="15" fontId="30" fillId="3" borderId="0" xfId="0" applyNumberFormat="1" applyFont="1" applyFill="1"/>
    <xf numFmtId="0" fontId="10" fillId="9" borderId="0" xfId="0" applyFont="1" applyFill="1"/>
    <xf numFmtId="0" fontId="38" fillId="0" borderId="1" xfId="0" applyFont="1" applyBorder="1"/>
    <xf numFmtId="0" fontId="38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6" fillId="0" borderId="1" xfId="0" applyFont="1" applyBorder="1"/>
    <xf numFmtId="0" fontId="36" fillId="3" borderId="1" xfId="0" applyFont="1" applyFill="1" applyBorder="1"/>
    <xf numFmtId="3" fontId="31" fillId="3" borderId="1" xfId="0" applyNumberFormat="1" applyFont="1" applyFill="1" applyBorder="1" applyAlignment="1">
      <alignment vertical="center" wrapText="1"/>
    </xf>
    <xf numFmtId="0" fontId="0" fillId="3" borderId="0" xfId="0" applyFill="1" applyAlignment="1">
      <alignment vertical="top"/>
    </xf>
    <xf numFmtId="15" fontId="0" fillId="3" borderId="0" xfId="0" applyNumberFormat="1" applyFill="1"/>
    <xf numFmtId="0" fontId="23" fillId="3" borderId="3" xfId="0" applyFont="1" applyFill="1" applyBorder="1" applyAlignment="1">
      <alignment wrapText="1"/>
    </xf>
    <xf numFmtId="0" fontId="23" fillId="3" borderId="1" xfId="0" applyFont="1" applyFill="1" applyBorder="1" applyAlignment="1">
      <alignment wrapText="1"/>
    </xf>
    <xf numFmtId="0" fontId="23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top"/>
    </xf>
    <xf numFmtId="167" fontId="2" fillId="3" borderId="1" xfId="10" applyNumberFormat="1" applyFont="1" applyFill="1" applyBorder="1" applyAlignment="1">
      <alignment horizontal="right" vertical="top"/>
    </xf>
    <xf numFmtId="15" fontId="10" fillId="3" borderId="0" xfId="0" applyNumberFormat="1" applyFont="1" applyFill="1"/>
    <xf numFmtId="167" fontId="15" fillId="3" borderId="5" xfId="0" applyNumberFormat="1" applyFont="1" applyFill="1" applyBorder="1" applyAlignment="1">
      <alignment horizontal="right" wrapText="1"/>
    </xf>
    <xf numFmtId="167" fontId="15" fillId="3" borderId="5" xfId="1" applyNumberFormat="1" applyFont="1" applyFill="1" applyBorder="1" applyAlignment="1">
      <alignment horizontal="right"/>
    </xf>
    <xf numFmtId="0" fontId="37" fillId="0" borderId="1" xfId="0" applyFont="1" applyBorder="1" applyAlignment="1">
      <alignment horizontal="center"/>
    </xf>
    <xf numFmtId="0" fontId="37" fillId="0" borderId="1" xfId="0" applyFont="1" applyBorder="1"/>
    <xf numFmtId="0" fontId="10" fillId="10" borderId="0" xfId="0" applyFont="1" applyFill="1"/>
    <xf numFmtId="0" fontId="10" fillId="11" borderId="0" xfId="0" applyFont="1" applyFill="1"/>
    <xf numFmtId="0" fontId="0" fillId="13" borderId="1" xfId="0" applyFill="1" applyBorder="1"/>
    <xf numFmtId="171" fontId="4" fillId="3" borderId="1" xfId="0" applyNumberFormat="1" applyFont="1" applyFill="1" applyBorder="1"/>
    <xf numFmtId="14" fontId="4" fillId="3" borderId="1" xfId="0" applyNumberFormat="1" applyFont="1" applyFill="1" applyBorder="1" applyAlignment="1">
      <alignment vertical="center"/>
    </xf>
    <xf numFmtId="165" fontId="4" fillId="3" borderId="1" xfId="0" applyNumberFormat="1" applyFont="1" applyFill="1" applyBorder="1" applyAlignment="1">
      <alignment vertical="center"/>
    </xf>
    <xf numFmtId="164" fontId="0" fillId="0" borderId="1" xfId="2" applyFont="1" applyBorder="1"/>
    <xf numFmtId="3" fontId="0" fillId="0" borderId="0" xfId="0" applyNumberFormat="1"/>
    <xf numFmtId="164" fontId="0" fillId="0" borderId="0" xfId="2" applyFont="1"/>
    <xf numFmtId="0" fontId="38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10" fillId="8" borderId="0" xfId="0" applyFont="1" applyFill="1"/>
    <xf numFmtId="0" fontId="46" fillId="3" borderId="1" xfId="0" applyFont="1" applyFill="1" applyBorder="1" applyAlignment="1">
      <alignment horizontal="left" wrapText="1"/>
    </xf>
    <xf numFmtId="0" fontId="46" fillId="2" borderId="1" xfId="0" applyFont="1" applyFill="1" applyBorder="1" applyAlignment="1">
      <alignment horizontal="left" wrapText="1"/>
    </xf>
    <xf numFmtId="0" fontId="46" fillId="12" borderId="1" xfId="0" applyFont="1" applyFill="1" applyBorder="1" applyAlignment="1">
      <alignment horizontal="left"/>
    </xf>
    <xf numFmtId="0" fontId="46" fillId="12" borderId="1" xfId="0" applyFont="1" applyFill="1" applyBorder="1" applyAlignment="1">
      <alignment horizontal="left" wrapText="1"/>
    </xf>
    <xf numFmtId="37" fontId="47" fillId="12" borderId="1" xfId="0" applyNumberFormat="1" applyFont="1" applyFill="1" applyBorder="1" applyAlignment="1">
      <alignment horizontal="left"/>
    </xf>
    <xf numFmtId="0" fontId="46" fillId="3" borderId="1" xfId="0" applyFont="1" applyFill="1" applyBorder="1" applyAlignment="1">
      <alignment horizontal="left"/>
    </xf>
    <xf numFmtId="0" fontId="47" fillId="3" borderId="1" xfId="2" applyNumberFormat="1" applyFont="1" applyFill="1" applyBorder="1" applyAlignment="1">
      <alignment horizontal="center"/>
    </xf>
    <xf numFmtId="0" fontId="47" fillId="2" borderId="1" xfId="2" applyNumberFormat="1" applyFont="1" applyFill="1" applyBorder="1" applyAlignment="1">
      <alignment horizontal="center"/>
    </xf>
    <xf numFmtId="164" fontId="46" fillId="3" borderId="1" xfId="2" applyFont="1" applyFill="1" applyBorder="1" applyAlignment="1">
      <alignment horizontal="left" wrapText="1"/>
    </xf>
    <xf numFmtId="37" fontId="47" fillId="3" borderId="1" xfId="0" applyNumberFormat="1" applyFont="1" applyFill="1" applyBorder="1" applyAlignment="1">
      <alignment horizontal="left"/>
    </xf>
    <xf numFmtId="0" fontId="47" fillId="3" borderId="1" xfId="0" applyFont="1" applyFill="1" applyBorder="1" applyAlignment="1">
      <alignment horizontal="left" wrapText="1"/>
    </xf>
    <xf numFmtId="0" fontId="47" fillId="3" borderId="1" xfId="0" applyFont="1" applyFill="1" applyBorder="1" applyAlignment="1">
      <alignment horizontal="left"/>
    </xf>
    <xf numFmtId="164" fontId="47" fillId="3" borderId="1" xfId="2" applyFont="1" applyFill="1" applyBorder="1" applyAlignment="1" applyProtection="1">
      <alignment horizontal="left"/>
    </xf>
    <xf numFmtId="0" fontId="47" fillId="0" borderId="1" xfId="0" applyFont="1" applyBorder="1" applyAlignment="1">
      <alignment horizontal="left" wrapText="1"/>
    </xf>
    <xf numFmtId="0" fontId="47" fillId="0" borderId="1" xfId="0" applyFont="1" applyBorder="1" applyAlignment="1">
      <alignment horizontal="left"/>
    </xf>
    <xf numFmtId="0" fontId="47" fillId="0" borderId="1" xfId="2" applyNumberFormat="1" applyFont="1" applyFill="1" applyBorder="1" applyAlignment="1">
      <alignment horizontal="center"/>
    </xf>
    <xf numFmtId="164" fontId="47" fillId="0" borderId="1" xfId="2" applyFont="1" applyFill="1" applyBorder="1" applyAlignment="1" applyProtection="1">
      <alignment horizontal="left"/>
    </xf>
    <xf numFmtId="0" fontId="47" fillId="2" borderId="1" xfId="0" applyFont="1" applyFill="1" applyBorder="1" applyAlignment="1">
      <alignment horizontal="left" wrapText="1"/>
    </xf>
    <xf numFmtId="0" fontId="47" fillId="2" borderId="1" xfId="0" applyFont="1" applyFill="1" applyBorder="1" applyAlignment="1">
      <alignment horizontal="left"/>
    </xf>
    <xf numFmtId="164" fontId="47" fillId="2" borderId="1" xfId="2" applyFont="1" applyFill="1" applyBorder="1" applyAlignment="1" applyProtection="1">
      <alignment horizontal="left"/>
    </xf>
    <xf numFmtId="0" fontId="46" fillId="3" borderId="1" xfId="2" applyNumberFormat="1" applyFont="1" applyFill="1" applyBorder="1" applyAlignment="1">
      <alignment horizontal="center"/>
    </xf>
    <xf numFmtId="0" fontId="46" fillId="2" borderId="1" xfId="2" applyNumberFormat="1" applyFont="1" applyFill="1" applyBorder="1" applyAlignment="1">
      <alignment horizontal="center"/>
    </xf>
    <xf numFmtId="0" fontId="46" fillId="3" borderId="1" xfId="2" applyNumberFormat="1" applyFont="1" applyFill="1" applyBorder="1" applyAlignment="1">
      <alignment horizontal="left"/>
    </xf>
    <xf numFmtId="0" fontId="46" fillId="14" borderId="1" xfId="0" applyFont="1" applyFill="1" applyBorder="1" applyAlignment="1">
      <alignment horizontal="left" wrapText="1"/>
    </xf>
    <xf numFmtId="0" fontId="47" fillId="14" borderId="1" xfId="0" applyFont="1" applyFill="1" applyBorder="1" applyAlignment="1">
      <alignment horizontal="left"/>
    </xf>
    <xf numFmtId="0" fontId="47" fillId="15" borderId="1" xfId="2" applyNumberFormat="1" applyFont="1" applyFill="1" applyBorder="1" applyAlignment="1">
      <alignment horizontal="center"/>
    </xf>
    <xf numFmtId="164" fontId="47" fillId="15" borderId="1" xfId="2" applyFont="1" applyFill="1" applyBorder="1" applyAlignment="1" applyProtection="1">
      <alignment horizontal="left"/>
    </xf>
    <xf numFmtId="37" fontId="47" fillId="15" borderId="1" xfId="0" applyNumberFormat="1" applyFont="1" applyFill="1" applyBorder="1" applyAlignment="1">
      <alignment horizontal="left"/>
    </xf>
    <xf numFmtId="164" fontId="46" fillId="3" borderId="1" xfId="2" applyFont="1" applyFill="1" applyBorder="1" applyAlignment="1">
      <alignment horizontal="left"/>
    </xf>
    <xf numFmtId="37" fontId="47" fillId="2" borderId="1" xfId="0" applyNumberFormat="1" applyFont="1" applyFill="1" applyBorder="1" applyAlignment="1">
      <alignment horizontal="left"/>
    </xf>
    <xf numFmtId="0" fontId="46" fillId="16" borderId="1" xfId="0" applyFont="1" applyFill="1" applyBorder="1" applyAlignment="1">
      <alignment horizontal="left" wrapText="1"/>
    </xf>
    <xf numFmtId="0" fontId="47" fillId="16" borderId="1" xfId="0" applyFont="1" applyFill="1" applyBorder="1" applyAlignment="1">
      <alignment horizontal="left"/>
    </xf>
    <xf numFmtId="0" fontId="47" fillId="16" borderId="1" xfId="2" applyNumberFormat="1" applyFont="1" applyFill="1" applyBorder="1" applyAlignment="1">
      <alignment horizontal="center"/>
    </xf>
    <xf numFmtId="164" fontId="47" fillId="16" borderId="1" xfId="2" applyFont="1" applyFill="1" applyBorder="1" applyAlignment="1" applyProtection="1">
      <alignment horizontal="left"/>
    </xf>
    <xf numFmtId="37" fontId="47" fillId="16" borderId="1" xfId="0" applyNumberFormat="1" applyFont="1" applyFill="1" applyBorder="1" applyAlignment="1">
      <alignment horizontal="left"/>
    </xf>
    <xf numFmtId="0" fontId="46" fillId="2" borderId="1" xfId="0" applyFont="1" applyFill="1" applyBorder="1" applyAlignment="1">
      <alignment horizontal="center" wrapText="1"/>
    </xf>
    <xf numFmtId="0" fontId="46" fillId="15" borderId="1" xfId="0" applyFont="1" applyFill="1" applyBorder="1" applyAlignment="1">
      <alignment horizontal="left"/>
    </xf>
    <xf numFmtId="0" fontId="47" fillId="15" borderId="1" xfId="0" applyFont="1" applyFill="1" applyBorder="1" applyAlignment="1">
      <alignment horizontal="left"/>
    </xf>
    <xf numFmtId="164" fontId="46" fillId="15" borderId="1" xfId="2" applyFont="1" applyFill="1" applyBorder="1" applyAlignment="1" applyProtection="1">
      <alignment horizontal="left"/>
    </xf>
    <xf numFmtId="0" fontId="47" fillId="12" borderId="1" xfId="2" applyNumberFormat="1" applyFont="1" applyFill="1" applyBorder="1" applyAlignment="1">
      <alignment horizontal="center"/>
    </xf>
    <xf numFmtId="164" fontId="46" fillId="12" borderId="1" xfId="2" applyFont="1" applyFill="1" applyBorder="1" applyAlignment="1">
      <alignment horizontal="left"/>
    </xf>
    <xf numFmtId="0" fontId="46" fillId="0" borderId="1" xfId="0" applyFont="1" applyBorder="1" applyAlignment="1">
      <alignment horizontal="left"/>
    </xf>
    <xf numFmtId="0" fontId="46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164" fontId="46" fillId="0" borderId="1" xfId="2" applyFont="1" applyFill="1" applyBorder="1" applyAlignment="1">
      <alignment horizontal="left" wrapText="1"/>
    </xf>
    <xf numFmtId="164" fontId="47" fillId="0" borderId="1" xfId="2" applyFont="1" applyFill="1" applyBorder="1" applyAlignment="1">
      <alignment horizontal="left" wrapText="1"/>
    </xf>
    <xf numFmtId="164" fontId="47" fillId="0" borderId="1" xfId="2" applyFont="1" applyFill="1" applyBorder="1" applyAlignment="1">
      <alignment horizontal="left"/>
    </xf>
    <xf numFmtId="164" fontId="47" fillId="2" borderId="1" xfId="2" applyFont="1" applyFill="1" applyBorder="1" applyAlignment="1">
      <alignment horizontal="left"/>
    </xf>
    <xf numFmtId="0" fontId="46" fillId="0" borderId="1" xfId="2" applyNumberFormat="1" applyFont="1" applyFill="1" applyBorder="1" applyAlignment="1">
      <alignment horizontal="center"/>
    </xf>
    <xf numFmtId="0" fontId="46" fillId="0" borderId="1" xfId="2" applyNumberFormat="1" applyFont="1" applyFill="1" applyBorder="1" applyAlignment="1">
      <alignment horizontal="left"/>
    </xf>
    <xf numFmtId="0" fontId="46" fillId="16" borderId="1" xfId="0" applyFont="1" applyFill="1" applyBorder="1" applyAlignment="1">
      <alignment horizontal="left"/>
    </xf>
    <xf numFmtId="0" fontId="46" fillId="16" borderId="1" xfId="2" applyNumberFormat="1" applyFont="1" applyFill="1" applyBorder="1" applyAlignment="1">
      <alignment horizontal="center"/>
    </xf>
    <xf numFmtId="0" fontId="46" fillId="16" borderId="1" xfId="2" applyNumberFormat="1" applyFont="1" applyFill="1" applyBorder="1" applyAlignment="1">
      <alignment horizontal="left"/>
    </xf>
    <xf numFmtId="164" fontId="47" fillId="3" borderId="1" xfId="2" applyFont="1" applyFill="1" applyBorder="1" applyAlignment="1">
      <alignment horizontal="left" wrapText="1"/>
    </xf>
    <xf numFmtId="169" fontId="47" fillId="3" borderId="1" xfId="1" applyNumberFormat="1" applyFont="1" applyFill="1" applyBorder="1" applyAlignment="1">
      <alignment horizontal="left"/>
    </xf>
    <xf numFmtId="164" fontId="47" fillId="2" borderId="1" xfId="2" applyFont="1" applyFill="1" applyBorder="1" applyAlignment="1">
      <alignment horizontal="left" wrapText="1"/>
    </xf>
    <xf numFmtId="169" fontId="46" fillId="3" borderId="1" xfId="1" applyNumberFormat="1" applyFont="1" applyFill="1" applyBorder="1" applyAlignment="1">
      <alignment horizontal="left"/>
    </xf>
    <xf numFmtId="0" fontId="46" fillId="12" borderId="1" xfId="2" applyNumberFormat="1" applyFont="1" applyFill="1" applyBorder="1" applyAlignment="1">
      <alignment horizontal="center"/>
    </xf>
    <xf numFmtId="37" fontId="46" fillId="12" borderId="1" xfId="0" applyNumberFormat="1" applyFont="1" applyFill="1" applyBorder="1" applyAlignment="1">
      <alignment horizontal="left"/>
    </xf>
    <xf numFmtId="0" fontId="47" fillId="0" borderId="1" xfId="2" applyNumberFormat="1" applyFont="1" applyFill="1" applyBorder="1" applyAlignment="1" applyProtection="1">
      <alignment horizontal="center"/>
    </xf>
    <xf numFmtId="0" fontId="47" fillId="2" borderId="1" xfId="2" applyNumberFormat="1" applyFont="1" applyFill="1" applyBorder="1" applyAlignment="1" applyProtection="1">
      <alignment horizontal="center"/>
    </xf>
    <xf numFmtId="164" fontId="46" fillId="0" borderId="1" xfId="2" applyFont="1" applyFill="1" applyBorder="1" applyAlignment="1" applyProtection="1">
      <alignment horizontal="left"/>
    </xf>
    <xf numFmtId="0" fontId="47" fillId="15" borderId="1" xfId="0" applyFont="1" applyFill="1" applyBorder="1" applyAlignment="1">
      <alignment horizontal="left" wrapText="1"/>
    </xf>
    <xf numFmtId="0" fontId="20" fillId="15" borderId="1" xfId="0" applyFont="1" applyFill="1" applyBorder="1" applyAlignment="1">
      <alignment horizontal="center"/>
    </xf>
    <xf numFmtId="0" fontId="46" fillId="0" borderId="1" xfId="2" applyNumberFormat="1" applyFont="1" applyFill="1" applyBorder="1" applyAlignment="1" applyProtection="1">
      <alignment horizontal="center"/>
    </xf>
    <xf numFmtId="0" fontId="46" fillId="2" borderId="1" xfId="2" applyNumberFormat="1" applyFont="1" applyFill="1" applyBorder="1" applyAlignment="1" applyProtection="1">
      <alignment horizontal="center"/>
    </xf>
    <xf numFmtId="0" fontId="46" fillId="0" borderId="1" xfId="2" applyNumberFormat="1" applyFont="1" applyFill="1" applyBorder="1" applyAlignment="1" applyProtection="1">
      <alignment horizontal="left"/>
    </xf>
    <xf numFmtId="0" fontId="46" fillId="17" borderId="1" xfId="0" applyFont="1" applyFill="1" applyBorder="1" applyAlignment="1">
      <alignment horizontal="left"/>
    </xf>
    <xf numFmtId="0" fontId="47" fillId="17" borderId="1" xfId="2" applyNumberFormat="1" applyFont="1" applyFill="1" applyBorder="1" applyAlignment="1">
      <alignment horizontal="center"/>
    </xf>
    <xf numFmtId="164" fontId="46" fillId="17" borderId="1" xfId="2" applyFont="1" applyFill="1" applyBorder="1" applyAlignment="1">
      <alignment horizontal="left"/>
    </xf>
    <xf numFmtId="37" fontId="47" fillId="17" borderId="1" xfId="0" applyNumberFormat="1" applyFont="1" applyFill="1" applyBorder="1" applyAlignment="1">
      <alignment horizontal="left"/>
    </xf>
    <xf numFmtId="164" fontId="47" fillId="3" borderId="1" xfId="2" applyFont="1" applyFill="1" applyBorder="1" applyAlignment="1">
      <alignment horizontal="left"/>
    </xf>
    <xf numFmtId="164" fontId="47" fillId="15" borderId="1" xfId="2" applyFont="1" applyFill="1" applyBorder="1" applyAlignment="1">
      <alignment horizontal="left"/>
    </xf>
    <xf numFmtId="164" fontId="46" fillId="0" borderId="1" xfId="2" applyFont="1" applyFill="1" applyBorder="1" applyAlignment="1">
      <alignment horizontal="left"/>
    </xf>
    <xf numFmtId="169" fontId="47" fillId="0" borderId="1" xfId="1" applyNumberFormat="1" applyFont="1" applyFill="1" applyBorder="1" applyAlignment="1">
      <alignment horizontal="left"/>
    </xf>
    <xf numFmtId="169" fontId="47" fillId="0" borderId="1" xfId="1" applyNumberFormat="1" applyFont="1" applyFill="1" applyBorder="1" applyAlignment="1">
      <alignment horizontal="left" wrapText="1"/>
    </xf>
    <xf numFmtId="169" fontId="47" fillId="0" borderId="1" xfId="1" applyNumberFormat="1" applyFont="1" applyFill="1" applyBorder="1" applyAlignment="1" applyProtection="1">
      <alignment horizontal="left"/>
    </xf>
    <xf numFmtId="0" fontId="46" fillId="15" borderId="1" xfId="2" applyNumberFormat="1" applyFont="1" applyFill="1" applyBorder="1" applyAlignment="1">
      <alignment horizontal="center"/>
    </xf>
    <xf numFmtId="169" fontId="46" fillId="15" borderId="1" xfId="1" applyNumberFormat="1" applyFont="1" applyFill="1" applyBorder="1" applyAlignment="1">
      <alignment horizontal="left"/>
    </xf>
    <xf numFmtId="0" fontId="47" fillId="0" borderId="1" xfId="2" applyNumberFormat="1" applyFont="1" applyFill="1" applyBorder="1" applyAlignment="1">
      <alignment horizontal="left"/>
    </xf>
    <xf numFmtId="169" fontId="47" fillId="15" borderId="1" xfId="1" applyNumberFormat="1" applyFont="1" applyFill="1" applyBorder="1" applyAlignment="1">
      <alignment horizontal="left"/>
    </xf>
    <xf numFmtId="169" fontId="47" fillId="3" borderId="1" xfId="1" applyNumberFormat="1" applyFont="1" applyFill="1" applyBorder="1" applyAlignment="1" applyProtection="1">
      <alignment horizontal="left"/>
    </xf>
    <xf numFmtId="169" fontId="46" fillId="12" borderId="1" xfId="1" applyNumberFormat="1" applyFont="1" applyFill="1" applyBorder="1" applyAlignment="1">
      <alignment horizontal="left"/>
    </xf>
    <xf numFmtId="169" fontId="46" fillId="0" borderId="1" xfId="1" applyNumberFormat="1" applyFont="1" applyFill="1" applyBorder="1" applyAlignment="1">
      <alignment horizontal="left"/>
    </xf>
    <xf numFmtId="0" fontId="43" fillId="12" borderId="1" xfId="0" applyFont="1" applyFill="1" applyBorder="1" applyAlignment="1">
      <alignment horizontal="left"/>
    </xf>
    <xf numFmtId="0" fontId="20" fillId="12" borderId="1" xfId="0" applyFont="1" applyFill="1" applyBorder="1" applyAlignment="1">
      <alignment horizontal="left"/>
    </xf>
    <xf numFmtId="0" fontId="20" fillId="12" borderId="1" xfId="0" applyFont="1" applyFill="1" applyBorder="1" applyAlignment="1">
      <alignment horizontal="center"/>
    </xf>
    <xf numFmtId="0" fontId="47" fillId="3" borderId="1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/>
    </xf>
    <xf numFmtId="0" fontId="46" fillId="3" borderId="1" xfId="0" applyFont="1" applyFill="1" applyBorder="1" applyAlignment="1">
      <alignment horizontal="center"/>
    </xf>
    <xf numFmtId="0" fontId="46" fillId="2" borderId="1" xfId="0" applyFont="1" applyFill="1" applyBorder="1" applyAlignment="1">
      <alignment horizontal="center"/>
    </xf>
    <xf numFmtId="0" fontId="46" fillId="12" borderId="1" xfId="0" applyFont="1" applyFill="1" applyBorder="1" applyAlignment="1">
      <alignment horizontal="center" wrapText="1"/>
    </xf>
    <xf numFmtId="169" fontId="47" fillId="2" borderId="1" xfId="1" applyNumberFormat="1" applyFont="1" applyFill="1" applyBorder="1" applyAlignment="1">
      <alignment horizontal="left"/>
    </xf>
    <xf numFmtId="0" fontId="47" fillId="8" borderId="1" xfId="0" applyFont="1" applyFill="1" applyBorder="1" applyAlignment="1">
      <alignment horizontal="left" wrapText="1"/>
    </xf>
    <xf numFmtId="0" fontId="47" fillId="8" borderId="1" xfId="0" applyFont="1" applyFill="1" applyBorder="1" applyAlignment="1">
      <alignment horizontal="left"/>
    </xf>
    <xf numFmtId="0" fontId="47" fillId="8" borderId="1" xfId="2" applyNumberFormat="1" applyFont="1" applyFill="1" applyBorder="1" applyAlignment="1">
      <alignment horizontal="center"/>
    </xf>
    <xf numFmtId="164" fontId="47" fillId="8" borderId="1" xfId="2" applyFont="1" applyFill="1" applyBorder="1" applyAlignment="1" applyProtection="1">
      <alignment horizontal="left"/>
    </xf>
    <xf numFmtId="37" fontId="47" fillId="8" borderId="1" xfId="0" applyNumberFormat="1" applyFont="1" applyFill="1" applyBorder="1" applyAlignment="1">
      <alignment horizontal="left"/>
    </xf>
    <xf numFmtId="164" fontId="47" fillId="8" borderId="1" xfId="2" applyFont="1" applyFill="1" applyBorder="1" applyAlignment="1">
      <alignment horizontal="left"/>
    </xf>
    <xf numFmtId="0" fontId="47" fillId="8" borderId="1" xfId="0" applyFont="1" applyFill="1" applyBorder="1" applyAlignment="1">
      <alignment horizontal="center"/>
    </xf>
    <xf numFmtId="164" fontId="47" fillId="8" borderId="1" xfId="2" applyFont="1" applyFill="1" applyBorder="1" applyAlignment="1">
      <alignment horizontal="left" wrapText="1"/>
    </xf>
    <xf numFmtId="0" fontId="0" fillId="18" borderId="1" xfId="0" applyFill="1" applyBorder="1"/>
    <xf numFmtId="164" fontId="0" fillId="18" borderId="1" xfId="2" applyFont="1" applyFill="1" applyBorder="1"/>
    <xf numFmtId="0" fontId="2" fillId="3" borderId="3" xfId="0" applyFont="1" applyFill="1" applyBorder="1" applyAlignment="1">
      <alignment vertical="center"/>
    </xf>
    <xf numFmtId="15" fontId="27" fillId="3" borderId="2" xfId="0" applyNumberFormat="1" applyFont="1" applyFill="1" applyBorder="1" applyAlignment="1">
      <alignment vertical="top" wrapText="1"/>
    </xf>
    <xf numFmtId="15" fontId="15" fillId="3" borderId="1" xfId="0" applyNumberFormat="1" applyFont="1" applyFill="1" applyBorder="1" applyAlignment="1">
      <alignment horizontal="left"/>
    </xf>
    <xf numFmtId="15" fontId="15" fillId="7" borderId="1" xfId="0" applyNumberFormat="1" applyFont="1" applyFill="1" applyBorder="1" applyAlignment="1" applyProtection="1">
      <alignment horizontal="right" vertical="top"/>
      <protection locked="0"/>
    </xf>
    <xf numFmtId="15" fontId="15" fillId="3" borderId="1" xfId="0" applyNumberFormat="1" applyFont="1" applyFill="1" applyBorder="1" applyAlignment="1">
      <alignment horizontal="left" vertical="top"/>
    </xf>
    <xf numFmtId="0" fontId="2" fillId="3" borderId="3" xfId="0" applyFont="1" applyFill="1" applyBorder="1" applyAlignment="1">
      <alignment wrapText="1"/>
    </xf>
    <xf numFmtId="0" fontId="38" fillId="0" borderId="0" xfId="0" applyFont="1"/>
    <xf numFmtId="49" fontId="15" fillId="3" borderId="0" xfId="0" quotePrefix="1" applyNumberFormat="1" applyFont="1" applyFill="1" applyAlignment="1" applyProtection="1">
      <alignment horizontal="left" vertical="top"/>
      <protection locked="0"/>
    </xf>
    <xf numFmtId="167" fontId="15" fillId="3" borderId="0" xfId="6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left" vertical="top" wrapText="1"/>
    </xf>
    <xf numFmtId="169" fontId="2" fillId="3" borderId="1" xfId="1" applyNumberFormat="1" applyFont="1" applyFill="1" applyBorder="1" applyAlignment="1">
      <alignment vertical="top" wrapText="1"/>
    </xf>
    <xf numFmtId="0" fontId="27" fillId="3" borderId="11" xfId="0" applyFont="1" applyFill="1" applyBorder="1" applyAlignment="1">
      <alignment vertical="center" wrapText="1"/>
    </xf>
    <xf numFmtId="15" fontId="5" fillId="3" borderId="1" xfId="0" applyNumberFormat="1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15" fontId="5" fillId="3" borderId="1" xfId="0" applyNumberFormat="1" applyFont="1" applyFill="1" applyBorder="1" applyAlignment="1">
      <alignment horizontal="right" wrapText="1"/>
    </xf>
    <xf numFmtId="15" fontId="5" fillId="3" borderId="1" xfId="6" applyNumberFormat="1" applyFont="1" applyFill="1" applyBorder="1" applyAlignment="1">
      <alignment horizontal="left"/>
    </xf>
    <xf numFmtId="0" fontId="27" fillId="3" borderId="1" xfId="0" applyFont="1" applyFill="1" applyBorder="1" applyAlignment="1">
      <alignment vertical="center"/>
    </xf>
    <xf numFmtId="0" fontId="27" fillId="3" borderId="0" xfId="0" applyFont="1" applyFill="1"/>
    <xf numFmtId="169" fontId="2" fillId="3" borderId="1" xfId="1" applyNumberFormat="1" applyFont="1" applyFill="1" applyBorder="1" applyAlignment="1">
      <alignment vertical="center" wrapText="1"/>
    </xf>
    <xf numFmtId="169" fontId="15" fillId="3" borderId="1" xfId="1" applyNumberFormat="1" applyFont="1" applyFill="1" applyBorder="1" applyAlignment="1">
      <alignment vertical="center" wrapText="1"/>
    </xf>
    <xf numFmtId="167" fontId="15" fillId="3" borderId="0" xfId="0" applyNumberFormat="1" applyFont="1" applyFill="1"/>
    <xf numFmtId="0" fontId="48" fillId="3" borderId="12" xfId="0" applyFont="1" applyFill="1" applyBorder="1" applyAlignment="1">
      <alignment vertical="center" wrapText="1"/>
    </xf>
    <xf numFmtId="169" fontId="2" fillId="3" borderId="5" xfId="1" applyNumberFormat="1" applyFont="1" applyFill="1" applyBorder="1" applyAlignment="1"/>
    <xf numFmtId="0" fontId="2" fillId="3" borderId="4" xfId="0" applyFont="1" applyFill="1" applyBorder="1" applyAlignment="1">
      <alignment vertical="top"/>
    </xf>
    <xf numFmtId="0" fontId="15" fillId="3" borderId="9" xfId="0" applyFont="1" applyFill="1" applyBorder="1" applyAlignment="1">
      <alignment horizontal="left" wrapText="1"/>
    </xf>
    <xf numFmtId="0" fontId="15" fillId="3" borderId="4" xfId="0" applyFont="1" applyFill="1" applyBorder="1" applyAlignment="1">
      <alignment horizontal="left" wrapText="1"/>
    </xf>
    <xf numFmtId="0" fontId="15" fillId="3" borderId="4" xfId="0" applyFont="1" applyFill="1" applyBorder="1" applyAlignment="1">
      <alignment horizontal="left" vertical="top"/>
    </xf>
    <xf numFmtId="166" fontId="15" fillId="3" borderId="4" xfId="0" applyNumberFormat="1" applyFont="1" applyFill="1" applyBorder="1" applyAlignment="1">
      <alignment horizontal="right" wrapText="1"/>
    </xf>
    <xf numFmtId="167" fontId="15" fillId="3" borderId="4" xfId="0" applyNumberFormat="1" applyFont="1" applyFill="1" applyBorder="1" applyAlignment="1">
      <alignment horizontal="right"/>
    </xf>
    <xf numFmtId="0" fontId="42" fillId="3" borderId="0" xfId="0" applyFont="1" applyFill="1"/>
    <xf numFmtId="0" fontId="14" fillId="3" borderId="0" xfId="0" applyFont="1" applyFill="1"/>
    <xf numFmtId="0" fontId="29" fillId="3" borderId="1" xfId="0" applyFont="1" applyFill="1" applyBorder="1" applyAlignment="1">
      <alignment horizontal="left"/>
    </xf>
    <xf numFmtId="15" fontId="29" fillId="3" borderId="0" xfId="0" applyNumberFormat="1" applyFont="1" applyFill="1" applyAlignment="1">
      <alignment horizontal="left"/>
    </xf>
    <xf numFmtId="15" fontId="29" fillId="3" borderId="1" xfId="0" applyNumberFormat="1" applyFont="1" applyFill="1" applyBorder="1" applyAlignment="1">
      <alignment horizontal="right"/>
    </xf>
    <xf numFmtId="15" fontId="29" fillId="3" borderId="1" xfId="0" applyNumberFormat="1" applyFont="1" applyFill="1" applyBorder="1"/>
    <xf numFmtId="0" fontId="41" fillId="3" borderId="1" xfId="0" applyFont="1" applyFill="1" applyBorder="1" applyAlignment="1">
      <alignment vertical="center" wrapText="1"/>
    </xf>
    <xf numFmtId="0" fontId="25" fillId="3" borderId="1" xfId="0" applyFont="1" applyFill="1" applyBorder="1" applyAlignment="1">
      <alignment vertical="center"/>
    </xf>
    <xf numFmtId="0" fontId="33" fillId="3" borderId="1" xfId="18" applyFont="1" applyFill="1" applyBorder="1"/>
    <xf numFmtId="0" fontId="2" fillId="3" borderId="5" xfId="0" applyFont="1" applyFill="1" applyBorder="1" applyAlignment="1">
      <alignment horizontal="center" vertical="top"/>
    </xf>
    <xf numFmtId="0" fontId="3" fillId="19" borderId="1" xfId="0" applyFont="1" applyFill="1" applyBorder="1" applyAlignment="1">
      <alignment wrapText="1"/>
    </xf>
    <xf numFmtId="0" fontId="16" fillId="19" borderId="1" xfId="0" applyFont="1" applyFill="1" applyBorder="1" applyAlignment="1">
      <alignment wrapText="1"/>
    </xf>
    <xf numFmtId="0" fontId="16" fillId="19" borderId="1" xfId="0" applyFont="1" applyFill="1" applyBorder="1" applyAlignment="1">
      <alignment horizontal="left" wrapText="1"/>
    </xf>
    <xf numFmtId="0" fontId="16" fillId="19" borderId="1" xfId="0" applyFont="1" applyFill="1" applyBorder="1" applyAlignment="1">
      <alignment horizontal="left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16" fillId="19" borderId="3" xfId="0" applyFont="1" applyFill="1" applyBorder="1" applyAlignment="1">
      <alignment horizontal="left" wrapText="1"/>
    </xf>
    <xf numFmtId="166" fontId="16" fillId="19" borderId="1" xfId="0" applyNumberFormat="1" applyFont="1" applyFill="1" applyBorder="1" applyAlignment="1">
      <alignment horizontal="right" wrapText="1"/>
    </xf>
    <xf numFmtId="167" fontId="16" fillId="19" borderId="1" xfId="0" applyNumberFormat="1" applyFont="1" applyFill="1" applyBorder="1" applyAlignment="1">
      <alignment horizontal="right" wrapText="1"/>
    </xf>
    <xf numFmtId="0" fontId="10" fillId="19" borderId="0" xfId="0" applyFont="1" applyFill="1"/>
    <xf numFmtId="0" fontId="3" fillId="19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/>
    </xf>
    <xf numFmtId="0" fontId="38" fillId="0" borderId="5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4" xfId="0" applyBorder="1"/>
    <xf numFmtId="0" fontId="38" fillId="3" borderId="5" xfId="0" applyFont="1" applyFill="1" applyBorder="1" applyAlignment="1">
      <alignment horizontal="center"/>
    </xf>
    <xf numFmtId="0" fontId="38" fillId="3" borderId="7" xfId="0" applyFont="1" applyFill="1" applyBorder="1" applyAlignment="1">
      <alignment horizontal="center"/>
    </xf>
    <xf numFmtId="0" fontId="38" fillId="3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38" fillId="0" borderId="5" xfId="0" applyFont="1" applyBorder="1" applyAlignment="1">
      <alignment wrapText="1"/>
    </xf>
    <xf numFmtId="0" fontId="38" fillId="0" borderId="7" xfId="0" applyFont="1" applyBorder="1" applyAlignment="1">
      <alignment wrapText="1"/>
    </xf>
    <xf numFmtId="0" fontId="38" fillId="0" borderId="4" xfId="0" applyFont="1" applyBorder="1" applyAlignment="1">
      <alignment wrapText="1"/>
    </xf>
    <xf numFmtId="0" fontId="38" fillId="3" borderId="5" xfId="0" applyFont="1" applyFill="1" applyBorder="1" applyAlignment="1">
      <alignment horizontal="center" wrapText="1"/>
    </xf>
    <xf numFmtId="0" fontId="38" fillId="3" borderId="7" xfId="0" applyFont="1" applyFill="1" applyBorder="1" applyAlignment="1">
      <alignment horizontal="center" wrapText="1"/>
    </xf>
    <xf numFmtId="0" fontId="38" fillId="3" borderId="4" xfId="0" applyFont="1" applyFill="1" applyBorder="1" applyAlignment="1">
      <alignment horizontal="center" wrapText="1"/>
    </xf>
    <xf numFmtId="0" fontId="30" fillId="0" borderId="5" xfId="0" applyFont="1" applyBorder="1"/>
    <xf numFmtId="0" fontId="30" fillId="0" borderId="7" xfId="0" applyFont="1" applyBorder="1"/>
    <xf numFmtId="0" fontId="30" fillId="0" borderId="4" xfId="0" applyFont="1" applyBorder="1"/>
    <xf numFmtId="0" fontId="40" fillId="0" borderId="0" xfId="0" applyFont="1" applyAlignment="1">
      <alignment horizontal="center"/>
    </xf>
    <xf numFmtId="0" fontId="45" fillId="0" borderId="1" xfId="0" applyFont="1" applyBorder="1" applyAlignment="1">
      <alignment horizontal="center"/>
    </xf>
    <xf numFmtId="0" fontId="46" fillId="3" borderId="1" xfId="0" applyFont="1" applyFill="1" applyBorder="1" applyAlignment="1">
      <alignment horizontal="left" wrapText="1"/>
    </xf>
  </cellXfs>
  <cellStyles count="22">
    <cellStyle name="Comma" xfId="1" builtinId="3"/>
    <cellStyle name="Comma [0]" xfId="2" builtinId="6"/>
    <cellStyle name="Comma [0] 2" xfId="3"/>
    <cellStyle name="Comma [0] 2 2" xfId="4"/>
    <cellStyle name="Comma [0] 3" xfId="5"/>
    <cellStyle name="Comma 2" xfId="6"/>
    <cellStyle name="Comma 2 2" xfId="7"/>
    <cellStyle name="Comma 3" xfId="8"/>
    <cellStyle name="Comma 3 2" xfId="9"/>
    <cellStyle name="Comma 4" xfId="10"/>
    <cellStyle name="Comma 4 2" xfId="11"/>
    <cellStyle name="Comma 5" xfId="12"/>
    <cellStyle name="Currency" xfId="13" builtinId="4"/>
    <cellStyle name="Currency 2" xfId="14"/>
    <cellStyle name="Normal" xfId="0" builtinId="0"/>
    <cellStyle name="Normal 2" xfId="15"/>
    <cellStyle name="Normal 2 2" xfId="16"/>
    <cellStyle name="Normal 2 2 2" xfId="17"/>
    <cellStyle name="Normal 2 3" xfId="18"/>
    <cellStyle name="Normal 2 3 2" xfId="19"/>
    <cellStyle name="Normal 2 4" xfId="20"/>
    <cellStyle name="Normal 3" xfId="2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534</xdr:row>
      <xdr:rowOff>0</xdr:rowOff>
    </xdr:from>
    <xdr:to>
      <xdr:col>12</xdr:col>
      <xdr:colOff>9525</xdr:colOff>
      <xdr:row>534</xdr:row>
      <xdr:rowOff>281668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3055974E-3591-D961-7E44-3CACD0FC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00" y="193852800"/>
          <a:ext cx="15525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dina.nakimuli\Downloads\NEW%20CONSOLIDATED%20STRUCTURE%20APRIL%202024%20WITH%20REPORTING%20LEVELS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taff%20list/STAFFLIST%20AUG%2025/staff%20list%2024-25/NEW%20NARO%20STAFF%20LIST-AS%20AT%2031%20DEC%20%20.2024%20EDT%202%20JAN%202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TABLISHMENT/HCM_26/NEW%20EMPLOYEES%20NOT%20YET%20ON%20NARO%20HCM%202023%20-March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LARYPBS2021\PBS2024\Finalmbabirye_CG_Pension_List_OCT%202024%20TO%20MARY%20EDT%2017.10.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PSHCM (2)"/>
    </sheetNames>
    <sheetDataSet>
      <sheetData sheetId="0">
        <row r="154">
          <cell r="M154" t="str">
            <v>CF700041025TLD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INPOST"/>
      <sheetName val="Sheet2"/>
      <sheetName val="Sheet1"/>
    </sheetNames>
    <sheetDataSet>
      <sheetData sheetId="0">
        <row r="562">
          <cell r="G562" t="str">
            <v>SAMUEL  BASSA</v>
          </cell>
          <cell r="M562" t="str">
            <v>CM66072102JYLF</v>
          </cell>
          <cell r="N562" t="str">
            <v>Male</v>
          </cell>
          <cell r="O562">
            <v>24295</v>
          </cell>
          <cell r="P562" t="str">
            <v>NaFIRRI</v>
          </cell>
          <cell r="Q562" t="str">
            <v>CONTRACT</v>
          </cell>
          <cell r="R562" t="str">
            <v>Research</v>
          </cell>
          <cell r="S562">
            <v>34335</v>
          </cell>
          <cell r="T562">
            <v>44743</v>
          </cell>
          <cell r="U562">
            <v>45078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PSINFORNEWSTAFF"/>
      <sheetName val="BANK.TEL CONTS"/>
      <sheetName val="NEW STAFF APRIL25"/>
      <sheetName val="NOT UPLOADED"/>
      <sheetName val="Sheet3"/>
    </sheetNames>
    <sheetDataSet>
      <sheetData sheetId="0"/>
      <sheetData sheetId="1">
        <row r="68">
          <cell r="I68">
            <v>32319</v>
          </cell>
          <cell r="J68" t="str">
            <v>CM880551023XHD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Pension"/>
      <sheetName val="RECRUITMENT PLAN"/>
    </sheetNames>
    <sheetDataSet>
      <sheetData sheetId="0" refreshError="1">
        <row r="2">
          <cell r="A2" t="str">
            <v>Director General</v>
          </cell>
          <cell r="B2" t="str">
            <v xml:space="preserve">UR 1(i) </v>
          </cell>
        </row>
        <row r="3">
          <cell r="A3" t="str">
            <v>Deputy Director General</v>
          </cell>
          <cell r="B3" t="str">
            <v>UR 1(ii)</v>
          </cell>
        </row>
        <row r="4">
          <cell r="A4" t="str">
            <v>Director Corporate Services</v>
          </cell>
          <cell r="B4" t="str">
            <v>UR 2(i)</v>
          </cell>
        </row>
        <row r="5">
          <cell r="A5" t="str">
            <v xml:space="preserve">Director Finance and Accounts </v>
          </cell>
          <cell r="B5" t="str">
            <v>UR 2(i)</v>
          </cell>
        </row>
        <row r="6">
          <cell r="A6" t="str">
            <v>Director Human Resource</v>
          </cell>
          <cell r="B6" t="str">
            <v>UR 2(i)</v>
          </cell>
        </row>
        <row r="7">
          <cell r="A7" t="str">
            <v>Director Internal Audit</v>
          </cell>
          <cell r="B7" t="str">
            <v>UR 2(i)</v>
          </cell>
        </row>
        <row r="8">
          <cell r="A8" t="str">
            <v>Director of Research</v>
          </cell>
          <cell r="B8" t="str">
            <v>UR 2(i)</v>
          </cell>
        </row>
        <row r="9">
          <cell r="A9" t="str">
            <v xml:space="preserve">Senior Principal Research Officer </v>
          </cell>
          <cell r="B9" t="str">
            <v>UR 2(i)RS</v>
          </cell>
        </row>
        <row r="10">
          <cell r="A10" t="str">
            <v>Special Assistant to DG</v>
          </cell>
          <cell r="B10" t="str">
            <v>UR 2(ii)RS</v>
          </cell>
        </row>
        <row r="11">
          <cell r="A11" t="str">
            <v>National Coordinator CGS</v>
          </cell>
          <cell r="B11" t="str">
            <v>UR 2(ii)RS</v>
          </cell>
        </row>
        <row r="12">
          <cell r="A12" t="str">
            <v>Principal Technology Promotion Officer</v>
          </cell>
          <cell r="B12" t="str">
            <v>UR 3RS</v>
          </cell>
        </row>
        <row r="13">
          <cell r="A13" t="str">
            <v xml:space="preserve">Principal Research Officer                                </v>
          </cell>
          <cell r="B13" t="str">
            <v>UR 3RS</v>
          </cell>
        </row>
        <row r="14">
          <cell r="A14" t="str">
            <v>Land Manager</v>
          </cell>
          <cell r="B14" t="str">
            <v>UR 3RS</v>
          </cell>
        </row>
        <row r="15">
          <cell r="A15" t="str">
            <v>Principal Civil Engineer</v>
          </cell>
          <cell r="B15" t="str">
            <v>UR 3RS</v>
          </cell>
        </row>
        <row r="16">
          <cell r="A16" t="str">
            <v>Principal Grants Officer (Sci)</v>
          </cell>
          <cell r="B16" t="str">
            <v>UR 3RS</v>
          </cell>
        </row>
        <row r="17">
          <cell r="A17" t="str">
            <v>Principal Information Technology Officer</v>
          </cell>
          <cell r="B17" t="str">
            <v>UR 3RS</v>
          </cell>
        </row>
        <row r="18">
          <cell r="A18" t="str">
            <v>Principal Monitoring and Evaluation Officer</v>
          </cell>
          <cell r="B18" t="str">
            <v>UR 3RS</v>
          </cell>
        </row>
        <row r="19">
          <cell r="A19" t="str">
            <v>Principal Planning Officer</v>
          </cell>
          <cell r="B19" t="str">
            <v>UR 3RS</v>
          </cell>
        </row>
        <row r="20">
          <cell r="A20" t="str">
            <v>Principal Quality Assurance and Compliance Officer</v>
          </cell>
          <cell r="B20" t="str">
            <v>UR 3RS</v>
          </cell>
        </row>
        <row r="21">
          <cell r="A21" t="str">
            <v xml:space="preserve">Senior Research Officer                                </v>
          </cell>
          <cell r="B21" t="str">
            <v>UR 4RS</v>
          </cell>
        </row>
        <row r="22">
          <cell r="A22" t="str">
            <v>Senior Database Management Officer</v>
          </cell>
          <cell r="B22" t="str">
            <v>UR 4RS</v>
          </cell>
        </row>
        <row r="23">
          <cell r="A23" t="str">
            <v xml:space="preserve">Senior Environmental Social Safe Guard Officer </v>
          </cell>
          <cell r="B23" t="str">
            <v>UR 4RS</v>
          </cell>
        </row>
        <row r="24">
          <cell r="A24" t="str">
            <v>Senior Incubation and Commercialization Officer</v>
          </cell>
          <cell r="B24" t="str">
            <v>UR 4RS</v>
          </cell>
        </row>
        <row r="25">
          <cell r="A25" t="str">
            <v>Senior Intellectual Property Management Officer</v>
          </cell>
          <cell r="B25" t="str">
            <v>UR 4RS</v>
          </cell>
        </row>
        <row r="26">
          <cell r="A26" t="str">
            <v>Senior Knowledge Management Officer</v>
          </cell>
          <cell r="B26" t="str">
            <v>UR 4RS</v>
          </cell>
        </row>
        <row r="27">
          <cell r="A27" t="str">
            <v>Senior Outreach Officer</v>
          </cell>
          <cell r="B27" t="str">
            <v>UR 4RS</v>
          </cell>
        </row>
        <row r="28">
          <cell r="A28" t="str">
            <v>Senior Partnership Officer</v>
          </cell>
          <cell r="B28" t="str">
            <v>UR 4RS</v>
          </cell>
        </row>
        <row r="29">
          <cell r="A29" t="str">
            <v>Knowledgement Management Officer (Publication Officer)</v>
          </cell>
          <cell r="B29" t="str">
            <v>UR 5(i)RS</v>
          </cell>
        </row>
        <row r="30">
          <cell r="A30" t="str">
            <v xml:space="preserve">Research Officer                                                  </v>
          </cell>
          <cell r="B30" t="str">
            <v>UR 5(i)RS</v>
          </cell>
        </row>
        <row r="31">
          <cell r="A31" t="str">
            <v>Planning, Monitoring and Evaluation Officer</v>
          </cell>
          <cell r="B31" t="str">
            <v>UR 5(i)RS</v>
          </cell>
        </row>
        <row r="32">
          <cell r="A32" t="str">
            <v>Biometrician</v>
          </cell>
          <cell r="B32" t="str">
            <v>UR 5(i)RS</v>
          </cell>
        </row>
        <row r="33">
          <cell r="A33" t="str">
            <v>Digital Media Officer</v>
          </cell>
          <cell r="B33" t="str">
            <v>UR 5(i)RS</v>
          </cell>
        </row>
        <row r="34">
          <cell r="A34" t="str">
            <v xml:space="preserve">Econometrician </v>
          </cell>
          <cell r="B34" t="str">
            <v>UR 5(i)RS</v>
          </cell>
        </row>
        <row r="35">
          <cell r="A35" t="str">
            <v>Statistician</v>
          </cell>
          <cell r="B35" t="str">
            <v>UR 5(i)RS</v>
          </cell>
        </row>
        <row r="36">
          <cell r="A36" t="str">
            <v>Grants Officer</v>
          </cell>
          <cell r="B36" t="str">
            <v>UR 5(i)RS</v>
          </cell>
        </row>
        <row r="37">
          <cell r="A37" t="str">
            <v xml:space="preserve">Risk Manager </v>
          </cell>
          <cell r="B37" t="str">
            <v>UR 5(i)RS</v>
          </cell>
        </row>
        <row r="38">
          <cell r="A38" t="str">
            <v xml:space="preserve">Senior Principal Technician                                </v>
          </cell>
          <cell r="B38" t="str">
            <v>UR 4RT</v>
          </cell>
        </row>
        <row r="39">
          <cell r="A39" t="str">
            <v>Senior Information Technology Officer</v>
          </cell>
          <cell r="B39" t="str">
            <v>UR 4RT</v>
          </cell>
        </row>
        <row r="40">
          <cell r="A40" t="str">
            <v>Information Technology Officer</v>
          </cell>
          <cell r="B40" t="str">
            <v>UR 5(i)RT</v>
          </cell>
        </row>
        <row r="41">
          <cell r="A41" t="str">
            <v>Stastician</v>
          </cell>
          <cell r="B41" t="str">
            <v>UR 5(i)RT</v>
          </cell>
        </row>
        <row r="42">
          <cell r="A42" t="str">
            <v xml:space="preserve">Principal Technician                                           </v>
          </cell>
          <cell r="B42" t="str">
            <v>UR 5(i)RT</v>
          </cell>
        </row>
        <row r="43">
          <cell r="A43" t="str">
            <v>Farm Manager</v>
          </cell>
          <cell r="B43" t="str">
            <v>UR 5(i)RT</v>
          </cell>
        </row>
        <row r="44">
          <cell r="A44" t="str">
            <v>Civil Engineer</v>
          </cell>
          <cell r="B44" t="str">
            <v>UR 5(i)RT</v>
          </cell>
        </row>
        <row r="45">
          <cell r="A45" t="str">
            <v xml:space="preserve">Senior Technician                                                       </v>
          </cell>
          <cell r="B45" t="str">
            <v>UR 5(ii)RT</v>
          </cell>
        </row>
        <row r="46">
          <cell r="A46" t="str">
            <v xml:space="preserve">Technician                                                                  </v>
          </cell>
          <cell r="B46" t="str">
            <v>UR 6RT</v>
          </cell>
        </row>
        <row r="47">
          <cell r="A47" t="str">
            <v xml:space="preserve">Assistant Farm Manager </v>
          </cell>
          <cell r="B47" t="str">
            <v>UR 6RT</v>
          </cell>
        </row>
        <row r="48">
          <cell r="A48" t="str">
            <v>Principal  Administrative  Assistant G.I</v>
          </cell>
          <cell r="B48" t="str">
            <v>UR 3Admin</v>
          </cell>
        </row>
        <row r="49">
          <cell r="A49" t="str">
            <v>Principal Internal Auditor</v>
          </cell>
          <cell r="B49" t="str">
            <v>UR 3Admin</v>
          </cell>
        </row>
        <row r="50">
          <cell r="A50" t="str">
            <v>Principal Procurement Officer</v>
          </cell>
          <cell r="B50" t="str">
            <v>UR 3Admin</v>
          </cell>
        </row>
        <row r="51">
          <cell r="A51" t="str">
            <v>Principal Accountant</v>
          </cell>
          <cell r="B51" t="str">
            <v>UR 3Admin</v>
          </cell>
        </row>
        <row r="52">
          <cell r="A52" t="str">
            <v xml:space="preserve">Principal Human Resource &amp; Administrative Officer </v>
          </cell>
          <cell r="B52" t="str">
            <v>UR 3Admin</v>
          </cell>
        </row>
        <row r="53">
          <cell r="A53" t="str">
            <v>Principal Council Secretary</v>
          </cell>
          <cell r="B53" t="str">
            <v>UR 3Admin</v>
          </cell>
        </row>
        <row r="54">
          <cell r="A54" t="str">
            <v>Principal Legal Officer</v>
          </cell>
          <cell r="B54" t="str">
            <v>UR 3Admin</v>
          </cell>
        </row>
        <row r="55">
          <cell r="A55" t="str">
            <v>Principal  Administrative Assistant G.II</v>
          </cell>
          <cell r="B55" t="str">
            <v>UR 4Admin</v>
          </cell>
        </row>
        <row r="56">
          <cell r="A56" t="str">
            <v>Senior Accountant</v>
          </cell>
          <cell r="B56" t="str">
            <v>UR 4Admin</v>
          </cell>
        </row>
        <row r="57">
          <cell r="A57" t="str">
            <v xml:space="preserve">Senior Administrative Officer </v>
          </cell>
          <cell r="B57" t="str">
            <v>UR 4Admin</v>
          </cell>
        </row>
        <row r="58">
          <cell r="A58" t="str">
            <v>Senior Communication Officer</v>
          </cell>
          <cell r="B58" t="str">
            <v>UR 4Admin</v>
          </cell>
        </row>
        <row r="59">
          <cell r="A59" t="str">
            <v xml:space="preserve">Senior Human Resource &amp; Administrative Officer </v>
          </cell>
          <cell r="B59" t="str">
            <v>UR 4Admin</v>
          </cell>
        </row>
        <row r="60">
          <cell r="A60" t="str">
            <v>Senior Internal Auditor</v>
          </cell>
          <cell r="B60" t="str">
            <v>UR 4Admin</v>
          </cell>
        </row>
        <row r="61">
          <cell r="A61" t="str">
            <v>Senior Management Information Systems Officer</v>
          </cell>
          <cell r="B61" t="str">
            <v>UR 4Admin</v>
          </cell>
        </row>
        <row r="62">
          <cell r="A62" t="str">
            <v>Senior Procurement Officer</v>
          </cell>
          <cell r="B62" t="str">
            <v>UR 4Admin</v>
          </cell>
        </row>
        <row r="63">
          <cell r="A63" t="str">
            <v>Senior Development Communication Officer</v>
          </cell>
          <cell r="B63" t="str">
            <v>UR 4Admin</v>
          </cell>
        </row>
        <row r="64">
          <cell r="A64" t="str">
            <v>Senior Monitoring and Evaluation Officer</v>
          </cell>
          <cell r="B64" t="str">
            <v>UR 4Admin</v>
          </cell>
        </row>
        <row r="65">
          <cell r="A65" t="str">
            <v>Accountant</v>
          </cell>
          <cell r="B65" t="str">
            <v>UR 5(i)Admin</v>
          </cell>
        </row>
        <row r="66">
          <cell r="A66" t="str">
            <v>Development Communication Officer</v>
          </cell>
          <cell r="B66" t="str">
            <v>UR 5(i)Admin</v>
          </cell>
        </row>
        <row r="67">
          <cell r="A67" t="str">
            <v>Documentation Officer</v>
          </cell>
          <cell r="B67" t="str">
            <v>UR 5(i)Admin</v>
          </cell>
        </row>
        <row r="68">
          <cell r="A68" t="str">
            <v>Estate Manager</v>
          </cell>
          <cell r="B68" t="str">
            <v>UR 5(i)Admin</v>
          </cell>
        </row>
        <row r="69">
          <cell r="A69" t="str">
            <v>Gender Officer</v>
          </cell>
          <cell r="B69" t="str">
            <v>UR 5(i)Admin</v>
          </cell>
        </row>
        <row r="70">
          <cell r="A70" t="str">
            <v xml:space="preserve">Human Resource &amp; Administrative Officer </v>
          </cell>
          <cell r="B70" t="str">
            <v>UR 5(i)Admin</v>
          </cell>
        </row>
        <row r="71">
          <cell r="A71" t="str">
            <v>Internal Auditor</v>
          </cell>
          <cell r="B71" t="str">
            <v>UR 5(i)Admin</v>
          </cell>
        </row>
        <row r="72">
          <cell r="A72" t="str">
            <v>Inventory Management Officer</v>
          </cell>
          <cell r="B72" t="str">
            <v>UR 5(i)Admin</v>
          </cell>
        </row>
        <row r="73">
          <cell r="A73" t="str">
            <v>Procurement officer</v>
          </cell>
          <cell r="B73" t="str">
            <v>UR 5(i)Admin</v>
          </cell>
        </row>
        <row r="74">
          <cell r="A74" t="str">
            <v>Senior Administrative Assistant G.I</v>
          </cell>
          <cell r="B74" t="str">
            <v>UR 5(i)Admin</v>
          </cell>
        </row>
        <row r="75">
          <cell r="A75" t="str">
            <v>Librarian</v>
          </cell>
          <cell r="B75" t="str">
            <v>UR 5(i)Admin</v>
          </cell>
        </row>
        <row r="76">
          <cell r="A76" t="str">
            <v>Human Resource &amp; Administrative Officer</v>
          </cell>
          <cell r="B76" t="str">
            <v>UR 5(i)Admin</v>
          </cell>
        </row>
        <row r="77">
          <cell r="A77" t="str">
            <v>Records Officer</v>
          </cell>
          <cell r="B77" t="str">
            <v>UR 5(i)Admin</v>
          </cell>
        </row>
        <row r="78">
          <cell r="A78" t="str">
            <v>Estate Maintenance Officer</v>
          </cell>
          <cell r="B78" t="str">
            <v>UR 5(ii)Admin</v>
          </cell>
        </row>
        <row r="79">
          <cell r="A79" t="str">
            <v>Senior Administrative Assistant G.II</v>
          </cell>
          <cell r="B79" t="str">
            <v>UR 5(ii)Admin</v>
          </cell>
        </row>
        <row r="80">
          <cell r="A80" t="str">
            <v>Senior Assistant Accountant</v>
          </cell>
          <cell r="B80" t="str">
            <v>UR 5(ii)Admin</v>
          </cell>
        </row>
        <row r="81">
          <cell r="A81" t="str">
            <v>Senior Assistant Inventory Management Officer</v>
          </cell>
          <cell r="B81" t="str">
            <v>UR 5(ii)Admin</v>
          </cell>
        </row>
        <row r="82">
          <cell r="A82" t="str">
            <v>Systems Network Administrator</v>
          </cell>
          <cell r="B82" t="str">
            <v>UR 5(ii)Admin</v>
          </cell>
        </row>
        <row r="83">
          <cell r="A83" t="str">
            <v>Administrative Assistant</v>
          </cell>
          <cell r="B83" t="str">
            <v>UR 6Admin</v>
          </cell>
        </row>
        <row r="84">
          <cell r="A84" t="str">
            <v>Assistant Accountant</v>
          </cell>
          <cell r="B84" t="str">
            <v>UR 6Admin</v>
          </cell>
        </row>
        <row r="85">
          <cell r="A85" t="str">
            <v>Assistant Estate Manager</v>
          </cell>
          <cell r="B85" t="str">
            <v>UR 6Admin</v>
          </cell>
        </row>
        <row r="86">
          <cell r="A86" t="str">
            <v>Assistant Inventory Management Officer</v>
          </cell>
          <cell r="B86" t="str">
            <v>UR 6Admin</v>
          </cell>
        </row>
        <row r="87">
          <cell r="A87" t="str">
            <v>Electrician</v>
          </cell>
          <cell r="B87" t="str">
            <v>UR 6Admin</v>
          </cell>
        </row>
        <row r="88">
          <cell r="A88" t="str">
            <v>Records Assistant</v>
          </cell>
          <cell r="B88" t="str">
            <v>UR 6Admin</v>
          </cell>
        </row>
        <row r="89">
          <cell r="A89" t="str">
            <v xml:space="preserve">Assistant Inventory  Management Officer </v>
          </cell>
          <cell r="B89" t="str">
            <v>UR 6Admin</v>
          </cell>
        </row>
        <row r="90">
          <cell r="A90" t="str">
            <v>Driver</v>
          </cell>
          <cell r="B90" t="str">
            <v>UR 7</v>
          </cell>
        </row>
        <row r="91">
          <cell r="A91" t="str">
            <v>Mechanic</v>
          </cell>
          <cell r="B91" t="str">
            <v>UR 7</v>
          </cell>
        </row>
        <row r="92">
          <cell r="A92" t="str">
            <v xml:space="preserve">Plumber </v>
          </cell>
          <cell r="B92" t="str">
            <v>UR 7</v>
          </cell>
        </row>
        <row r="93">
          <cell r="A93" t="str">
            <v>Skipper</v>
          </cell>
          <cell r="B93" t="str">
            <v>UR 7</v>
          </cell>
        </row>
        <row r="94">
          <cell r="A94" t="str">
            <v>Carpenter</v>
          </cell>
          <cell r="B94" t="str">
            <v>UR 7</v>
          </cell>
        </row>
        <row r="95">
          <cell r="A95" t="str">
            <v xml:space="preserve">Catering Assistant </v>
          </cell>
          <cell r="B95" t="str">
            <v>UR 7</v>
          </cell>
        </row>
        <row r="96">
          <cell r="A96" t="str">
            <v>Coxswain/Deckhand</v>
          </cell>
          <cell r="B96" t="str">
            <v>UR 7</v>
          </cell>
        </row>
        <row r="97">
          <cell r="A97" t="str">
            <v>Nursery Attendant</v>
          </cell>
          <cell r="B97" t="str">
            <v>UR 8</v>
          </cell>
        </row>
        <row r="98">
          <cell r="A98" t="str">
            <v>Office Attendant</v>
          </cell>
          <cell r="B98" t="str">
            <v>UR 8</v>
          </cell>
        </row>
        <row r="99">
          <cell r="A99" t="str">
            <v>Security Guard</v>
          </cell>
          <cell r="B99" t="str">
            <v>UR 8</v>
          </cell>
        </row>
        <row r="100">
          <cell r="A100" t="str">
            <v>Tractor Operator</v>
          </cell>
          <cell r="B100" t="str">
            <v>UR 8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ster"/>
      <sheetName val="Pensioners"/>
    </sheetNames>
    <sheetDataSet>
      <sheetData sheetId="0" refreshError="1">
        <row r="2">
          <cell r="B2" t="str">
            <v xml:space="preserve">POSITION TITLE </v>
          </cell>
          <cell r="C2" t="str">
            <v>SALARY SCALE</v>
          </cell>
          <cell r="D2" t="str">
            <v>APP</v>
          </cell>
          <cell r="E2" t="str">
            <v>FILLED</v>
          </cell>
          <cell r="F2" t="str">
            <v>VACANT</v>
          </cell>
          <cell r="G2" t="str">
            <v xml:space="preserve">OLD SALARY </v>
          </cell>
          <cell r="H2" t="str">
            <v xml:space="preserve">NEW SALARY </v>
          </cell>
          <cell r="I2" t="str">
            <v xml:space="preserve">REMARK </v>
          </cell>
        </row>
        <row r="3">
          <cell r="B3" t="str">
            <v xml:space="preserve">Director General </v>
          </cell>
          <cell r="C3" t="str">
            <v>UR 1(i)</v>
          </cell>
          <cell r="D3">
            <v>1</v>
          </cell>
          <cell r="E3">
            <v>1</v>
          </cell>
          <cell r="G3">
            <v>20000000</v>
          </cell>
          <cell r="H3">
            <v>20000000</v>
          </cell>
        </row>
        <row r="4">
          <cell r="B4" t="str">
            <v>Deputy Director General</v>
          </cell>
          <cell r="C4" t="str">
            <v>UR 1(ii)</v>
          </cell>
          <cell r="D4">
            <v>2</v>
          </cell>
          <cell r="E4">
            <v>2</v>
          </cell>
          <cell r="G4">
            <v>16900000</v>
          </cell>
          <cell r="H4">
            <v>16900000</v>
          </cell>
        </row>
        <row r="5">
          <cell r="B5" t="str">
            <v>Director</v>
          </cell>
          <cell r="C5" t="str">
            <v>UR 2(i)</v>
          </cell>
          <cell r="D5">
            <v>19</v>
          </cell>
          <cell r="E5">
            <v>19</v>
          </cell>
          <cell r="G5">
            <v>14000000</v>
          </cell>
          <cell r="H5">
            <v>14000000</v>
          </cell>
        </row>
        <row r="6">
          <cell r="B6" t="str">
            <v>Senior Principal Grants Officer</v>
          </cell>
          <cell r="C6" t="str">
            <v>UR 2(ii)RS</v>
          </cell>
          <cell r="D6">
            <v>1</v>
          </cell>
          <cell r="E6">
            <v>1</v>
          </cell>
          <cell r="G6">
            <v>10600000</v>
          </cell>
          <cell r="H6">
            <v>10600000</v>
          </cell>
        </row>
        <row r="7">
          <cell r="B7" t="str">
            <v>Senior Principal Research Officer</v>
          </cell>
          <cell r="C7" t="str">
            <v>UR 2(ii)RS</v>
          </cell>
          <cell r="G7">
            <v>10600000</v>
          </cell>
          <cell r="H7">
            <v>10600000</v>
          </cell>
        </row>
        <row r="8">
          <cell r="B8" t="str">
            <v>Senior Principal Technology Promotion Officer</v>
          </cell>
          <cell r="C8" t="str">
            <v>UR 2(ii)RS</v>
          </cell>
          <cell r="D8">
            <v>1</v>
          </cell>
          <cell r="E8">
            <v>0</v>
          </cell>
          <cell r="G8">
            <v>10600000</v>
          </cell>
          <cell r="H8">
            <v>10600000</v>
          </cell>
        </row>
        <row r="9">
          <cell r="B9" t="str">
            <v>Senior Principal Research Officer-Production&amp; Documentation</v>
          </cell>
          <cell r="C9" t="str">
            <v>UR 2(ii)RS</v>
          </cell>
          <cell r="D9">
            <v>1</v>
          </cell>
          <cell r="E9">
            <v>0</v>
          </cell>
          <cell r="G9">
            <v>10600000</v>
          </cell>
          <cell r="H9">
            <v>10600000</v>
          </cell>
        </row>
        <row r="10">
          <cell r="B10" t="str">
            <v>Senior Principal Research Officer-Air Quality Control</v>
          </cell>
          <cell r="C10" t="str">
            <v>UR 2(ii)RS</v>
          </cell>
          <cell r="D10">
            <v>1</v>
          </cell>
          <cell r="E10">
            <v>0</v>
          </cell>
          <cell r="G10">
            <v>10600000</v>
          </cell>
          <cell r="H10">
            <v>10600000</v>
          </cell>
        </row>
        <row r="11">
          <cell r="B11" t="str">
            <v>Principal Artificial Intelligence Officer</v>
          </cell>
          <cell r="C11" t="str">
            <v>UR 3RS</v>
          </cell>
          <cell r="D11">
            <v>1</v>
          </cell>
          <cell r="E11">
            <v>0</v>
          </cell>
          <cell r="G11">
            <v>7500000</v>
          </cell>
          <cell r="H11">
            <v>8500000</v>
          </cell>
          <cell r="I11" t="str">
            <v xml:space="preserve">New position </v>
          </cell>
        </row>
        <row r="12">
          <cell r="B12" t="str">
            <v>Principal Civil Engineer</v>
          </cell>
          <cell r="C12" t="str">
            <v>UR 3RS</v>
          </cell>
          <cell r="D12">
            <v>1</v>
          </cell>
          <cell r="E12">
            <v>1</v>
          </cell>
          <cell r="G12">
            <v>7500000</v>
          </cell>
          <cell r="H12">
            <v>8500000</v>
          </cell>
          <cell r="I12" t="str">
            <v>Change in salary</v>
          </cell>
        </row>
        <row r="13">
          <cell r="B13" t="str">
            <v>Principal Information Technology Officer</v>
          </cell>
          <cell r="C13" t="str">
            <v>UR 3RS</v>
          </cell>
          <cell r="D13">
            <v>1</v>
          </cell>
          <cell r="E13">
            <v>0</v>
          </cell>
          <cell r="G13">
            <v>7500000</v>
          </cell>
          <cell r="H13">
            <v>8500000</v>
          </cell>
          <cell r="I13" t="str">
            <v>Change in salary</v>
          </cell>
        </row>
        <row r="14">
          <cell r="B14" t="str">
            <v>Principal Grants Officer</v>
          </cell>
          <cell r="C14" t="str">
            <v>UR 3RS</v>
          </cell>
          <cell r="D14">
            <v>1</v>
          </cell>
          <cell r="E14">
            <v>1</v>
          </cell>
          <cell r="G14">
            <v>7500000</v>
          </cell>
          <cell r="H14">
            <v>8500000</v>
          </cell>
          <cell r="I14" t="str">
            <v>Change in salary</v>
          </cell>
        </row>
        <row r="15">
          <cell r="B15" t="str">
            <v>Principal Monitoring and Evaluation Officer</v>
          </cell>
          <cell r="C15" t="str">
            <v>UR 3RS</v>
          </cell>
          <cell r="D15">
            <v>1</v>
          </cell>
          <cell r="E15">
            <v>1</v>
          </cell>
          <cell r="G15">
            <v>7500000</v>
          </cell>
          <cell r="H15">
            <v>8500000</v>
          </cell>
          <cell r="I15" t="str">
            <v>Change in salary</v>
          </cell>
        </row>
        <row r="16">
          <cell r="B16" t="str">
            <v>Principal Planning Officer</v>
          </cell>
          <cell r="C16" t="str">
            <v>UR 3RS</v>
          </cell>
          <cell r="D16">
            <v>1</v>
          </cell>
          <cell r="E16">
            <v>1</v>
          </cell>
          <cell r="G16">
            <v>7500000</v>
          </cell>
          <cell r="H16">
            <v>8500000</v>
          </cell>
          <cell r="I16" t="str">
            <v>Change in salary</v>
          </cell>
        </row>
        <row r="17">
          <cell r="B17" t="str">
            <v>Principal Quality Assurance and Compliance Officer</v>
          </cell>
          <cell r="C17" t="str">
            <v>UR 3RS</v>
          </cell>
          <cell r="D17">
            <v>1</v>
          </cell>
          <cell r="E17">
            <v>0</v>
          </cell>
          <cell r="G17">
            <v>7500000</v>
          </cell>
          <cell r="H17">
            <v>8500000</v>
          </cell>
          <cell r="I17" t="str">
            <v>Change in salary</v>
          </cell>
        </row>
        <row r="18">
          <cell r="B18" t="str">
            <v>Principal Research Officer</v>
          </cell>
          <cell r="C18" t="str">
            <v>UR 3RS</v>
          </cell>
          <cell r="D18">
            <v>50</v>
          </cell>
          <cell r="E18">
            <v>31</v>
          </cell>
          <cell r="G18">
            <v>7500000</v>
          </cell>
          <cell r="H18">
            <v>8500000</v>
          </cell>
          <cell r="I18" t="str">
            <v>Change in salary</v>
          </cell>
        </row>
        <row r="19">
          <cell r="B19" t="str">
            <v xml:space="preserve">Principal Surveyor </v>
          </cell>
          <cell r="C19" t="str">
            <v>UR 3RS</v>
          </cell>
          <cell r="D19">
            <v>1</v>
          </cell>
          <cell r="E19">
            <v>1</v>
          </cell>
          <cell r="G19">
            <v>7500000</v>
          </cell>
          <cell r="H19">
            <v>8500000</v>
          </cell>
          <cell r="I19" t="str">
            <v xml:space="preserve">changed Salary&amp; nomenclature </v>
          </cell>
        </row>
        <row r="20">
          <cell r="B20" t="str">
            <v xml:space="preserve">Principal Technology Promotion Officer </v>
          </cell>
          <cell r="C20" t="str">
            <v>UR 3RS</v>
          </cell>
          <cell r="D20">
            <v>1</v>
          </cell>
          <cell r="E20">
            <v>1</v>
          </cell>
          <cell r="G20">
            <v>7500000</v>
          </cell>
          <cell r="H20">
            <v>8500000</v>
          </cell>
          <cell r="I20" t="str">
            <v>Change in salary</v>
          </cell>
        </row>
        <row r="21">
          <cell r="B21" t="str">
            <v>Principal Technology Promotion Officer Transfer</v>
          </cell>
          <cell r="C21" t="str">
            <v>UR 3RS</v>
          </cell>
          <cell r="D21">
            <v>1</v>
          </cell>
          <cell r="E21">
            <v>0</v>
          </cell>
          <cell r="G21">
            <v>7500000</v>
          </cell>
          <cell r="H21">
            <v>8500000</v>
          </cell>
          <cell r="I21" t="str">
            <v xml:space="preserve">New position &amp; changed salary </v>
          </cell>
        </row>
        <row r="22">
          <cell r="B22" t="str">
            <v>Principal Research Officer- M&amp;E</v>
          </cell>
          <cell r="C22" t="str">
            <v>UR 3RS</v>
          </cell>
          <cell r="D22">
            <v>1</v>
          </cell>
          <cell r="E22">
            <v>0</v>
          </cell>
          <cell r="G22">
            <v>7500000</v>
          </cell>
          <cell r="H22">
            <v>8500000</v>
          </cell>
          <cell r="I22" t="str">
            <v xml:space="preserve">New position &amp; changed salary </v>
          </cell>
        </row>
        <row r="23">
          <cell r="B23" t="str">
            <v>Principal Research Officer-Building Management Systems</v>
          </cell>
          <cell r="C23" t="str">
            <v>UR 3RS</v>
          </cell>
          <cell r="D23">
            <v>1</v>
          </cell>
          <cell r="E23">
            <v>0</v>
          </cell>
          <cell r="G23">
            <v>7500000</v>
          </cell>
          <cell r="H23">
            <v>8500000</v>
          </cell>
          <cell r="I23" t="str">
            <v xml:space="preserve">New position &amp; changed salary </v>
          </cell>
        </row>
        <row r="24">
          <cell r="B24" t="str">
            <v>Principal  Administrative  Assistant G.I</v>
          </cell>
          <cell r="C24" t="str">
            <v>UR 3Admin</v>
          </cell>
          <cell r="D24">
            <v>1</v>
          </cell>
          <cell r="E24">
            <v>1</v>
          </cell>
          <cell r="G24">
            <v>6600000</v>
          </cell>
          <cell r="H24">
            <v>6600000</v>
          </cell>
        </row>
        <row r="25">
          <cell r="B25" t="str">
            <v>Principal Accountant</v>
          </cell>
          <cell r="C25" t="str">
            <v>UR 3Admin</v>
          </cell>
          <cell r="D25">
            <v>5</v>
          </cell>
          <cell r="E25">
            <v>5</v>
          </cell>
          <cell r="G25">
            <v>6600000</v>
          </cell>
          <cell r="H25">
            <v>6600000</v>
          </cell>
        </row>
        <row r="26">
          <cell r="B26" t="str">
            <v>Principal  Communication Officer</v>
          </cell>
          <cell r="C26" t="str">
            <v>UR 3Admin</v>
          </cell>
          <cell r="D26">
            <v>1</v>
          </cell>
          <cell r="E26">
            <v>0</v>
          </cell>
          <cell r="G26">
            <v>6600000</v>
          </cell>
          <cell r="H26">
            <v>6600000</v>
          </cell>
          <cell r="I26" t="str">
            <v xml:space="preserve">New position &amp; changed salary </v>
          </cell>
        </row>
        <row r="27">
          <cell r="B27" t="str">
            <v>Principal Human Resource Officer</v>
          </cell>
          <cell r="C27" t="str">
            <v>UR 3Admin</v>
          </cell>
          <cell r="D27">
            <v>3</v>
          </cell>
          <cell r="E27">
            <v>3</v>
          </cell>
          <cell r="G27">
            <v>6600000</v>
          </cell>
          <cell r="H27">
            <v>6600000</v>
          </cell>
          <cell r="I27">
            <v>0</v>
          </cell>
        </row>
        <row r="28">
          <cell r="B28" t="str">
            <v xml:space="preserve">Principal Human Resource &amp; Administrative Officer </v>
          </cell>
          <cell r="C28" t="str">
            <v>UR 3Admin</v>
          </cell>
          <cell r="D28">
            <v>3</v>
          </cell>
          <cell r="E28">
            <v>3</v>
          </cell>
          <cell r="G28">
            <v>6600000</v>
          </cell>
          <cell r="H28">
            <v>6600000</v>
          </cell>
          <cell r="I28" t="str">
            <v>Upgraded position</v>
          </cell>
        </row>
        <row r="29">
          <cell r="B29" t="str">
            <v>Principal Internal Auditor</v>
          </cell>
          <cell r="C29" t="str">
            <v>UR 3Admin</v>
          </cell>
          <cell r="D29">
            <v>4</v>
          </cell>
          <cell r="E29">
            <v>4</v>
          </cell>
          <cell r="G29">
            <v>6600000</v>
          </cell>
          <cell r="H29">
            <v>6600000</v>
          </cell>
        </row>
        <row r="30">
          <cell r="B30" t="str">
            <v>Principal Legal Officer</v>
          </cell>
          <cell r="C30" t="str">
            <v>UR 3Admin</v>
          </cell>
          <cell r="D30">
            <v>1</v>
          </cell>
          <cell r="E30">
            <v>1</v>
          </cell>
          <cell r="G30">
            <v>6600000</v>
          </cell>
          <cell r="H30">
            <v>6600000</v>
          </cell>
          <cell r="I30" t="str">
            <v xml:space="preserve">changed Salary&amp; nomenclature </v>
          </cell>
        </row>
        <row r="31">
          <cell r="B31" t="str">
            <v>Principal Procurement Officer</v>
          </cell>
          <cell r="C31" t="str">
            <v>UR 3Admin</v>
          </cell>
          <cell r="D31">
            <v>1</v>
          </cell>
          <cell r="E31">
            <v>1</v>
          </cell>
          <cell r="G31">
            <v>6600000</v>
          </cell>
          <cell r="H31">
            <v>6600000</v>
          </cell>
        </row>
        <row r="32">
          <cell r="B32" t="str">
            <v xml:space="preserve">Senior Environmental Social Safe Guard Officer </v>
          </cell>
          <cell r="C32" t="str">
            <v>UR 4RS</v>
          </cell>
          <cell r="D32">
            <v>1</v>
          </cell>
          <cell r="E32">
            <v>1</v>
          </cell>
          <cell r="G32">
            <v>6500000</v>
          </cell>
          <cell r="H32">
            <v>7500000</v>
          </cell>
          <cell r="I32" t="str">
            <v>Change in salary</v>
          </cell>
        </row>
        <row r="33">
          <cell r="B33" t="str">
            <v>Senior Biometrician</v>
          </cell>
          <cell r="C33" t="str">
            <v>UR 4RS</v>
          </cell>
          <cell r="D33">
            <v>1</v>
          </cell>
          <cell r="E33">
            <v>0</v>
          </cell>
          <cell r="G33">
            <v>6500000</v>
          </cell>
          <cell r="H33">
            <v>7500000</v>
          </cell>
          <cell r="I33" t="str">
            <v>Change in salary</v>
          </cell>
        </row>
        <row r="34">
          <cell r="B34" t="str">
            <v>Senior Risk Officer</v>
          </cell>
          <cell r="C34" t="str">
            <v>UR 4RS</v>
          </cell>
          <cell r="D34">
            <v>1</v>
          </cell>
          <cell r="E34">
            <v>0</v>
          </cell>
          <cell r="G34">
            <v>6500000</v>
          </cell>
          <cell r="H34">
            <v>7500000</v>
          </cell>
          <cell r="I34" t="str">
            <v>Nomenclature changed&amp; upgraded</v>
          </cell>
        </row>
        <row r="35">
          <cell r="B35" t="str">
            <v xml:space="preserve"> Senior Accreditation Officer</v>
          </cell>
          <cell r="C35" t="str">
            <v>UR 4RS</v>
          </cell>
          <cell r="D35">
            <v>1</v>
          </cell>
          <cell r="E35">
            <v>0</v>
          </cell>
          <cell r="G35">
            <v>6500000</v>
          </cell>
          <cell r="H35">
            <v>7500000</v>
          </cell>
          <cell r="I35" t="str">
            <v>Change in salary</v>
          </cell>
        </row>
        <row r="36">
          <cell r="B36" t="str">
            <v xml:space="preserve">Senior Research Officer- Grants </v>
          </cell>
          <cell r="C36" t="str">
            <v>UR 4RS</v>
          </cell>
          <cell r="D36">
            <v>1</v>
          </cell>
          <cell r="E36">
            <v>0</v>
          </cell>
          <cell r="G36">
            <v>6500000</v>
          </cell>
          <cell r="H36">
            <v>7500000</v>
          </cell>
          <cell r="I36" t="str">
            <v>Upgraded position</v>
          </cell>
        </row>
        <row r="37">
          <cell r="B37" t="str">
            <v>Senior Outreach Officer</v>
          </cell>
          <cell r="C37" t="str">
            <v>UR 4RS</v>
          </cell>
          <cell r="D37">
            <v>1</v>
          </cell>
          <cell r="E37">
            <v>1</v>
          </cell>
          <cell r="G37">
            <v>6500000</v>
          </cell>
          <cell r="H37">
            <v>7500000</v>
          </cell>
          <cell r="I37" t="str">
            <v>Change in salary</v>
          </cell>
        </row>
        <row r="38">
          <cell r="B38" t="str">
            <v>Senior Incubation and Commercialization Officer</v>
          </cell>
          <cell r="C38" t="str">
            <v>UR 4RS</v>
          </cell>
          <cell r="D38">
            <v>1</v>
          </cell>
          <cell r="E38">
            <v>1</v>
          </cell>
          <cell r="G38">
            <v>6500000</v>
          </cell>
          <cell r="H38">
            <v>7500000</v>
          </cell>
          <cell r="I38" t="str">
            <v>Change in salary</v>
          </cell>
        </row>
        <row r="39">
          <cell r="B39" t="str">
            <v>Senior Intellectual Property Management Officer</v>
          </cell>
          <cell r="C39" t="str">
            <v>UR 4RS</v>
          </cell>
          <cell r="D39">
            <v>1</v>
          </cell>
          <cell r="E39">
            <v>1</v>
          </cell>
          <cell r="G39">
            <v>6500000</v>
          </cell>
          <cell r="H39">
            <v>7500000</v>
          </cell>
          <cell r="I39" t="str">
            <v>Change in salary</v>
          </cell>
        </row>
        <row r="40">
          <cell r="B40" t="str">
            <v>Senior Database Management&amp; Knowledge Mgt  Officer</v>
          </cell>
          <cell r="C40" t="str">
            <v>UR 4RS</v>
          </cell>
          <cell r="D40">
            <v>1</v>
          </cell>
          <cell r="E40">
            <v>1</v>
          </cell>
          <cell r="G40">
            <v>6500000</v>
          </cell>
          <cell r="H40">
            <v>7500000</v>
          </cell>
          <cell r="I40" t="str">
            <v>Change in salary</v>
          </cell>
        </row>
        <row r="41">
          <cell r="B41" t="str">
            <v>Senior Knowledge Mgt  Officer</v>
          </cell>
          <cell r="C41" t="str">
            <v>UR 4RS</v>
          </cell>
          <cell r="D41">
            <v>1</v>
          </cell>
          <cell r="E41">
            <v>1</v>
          </cell>
          <cell r="G41">
            <v>6500000</v>
          </cell>
          <cell r="H41">
            <v>7500000</v>
          </cell>
          <cell r="I41" t="str">
            <v>Change in salary</v>
          </cell>
        </row>
        <row r="42">
          <cell r="B42" t="str">
            <v>Senior Partnership Officer</v>
          </cell>
          <cell r="C42" t="str">
            <v>UR 4RS</v>
          </cell>
          <cell r="D42">
            <v>1</v>
          </cell>
          <cell r="E42">
            <v>1</v>
          </cell>
          <cell r="G42">
            <v>6500000</v>
          </cell>
          <cell r="H42">
            <v>7500000</v>
          </cell>
          <cell r="I42" t="str">
            <v>Change in salary</v>
          </cell>
        </row>
        <row r="43">
          <cell r="B43" t="str">
            <v xml:space="preserve">Senior Research Officer-Biometrics                      </v>
          </cell>
          <cell r="C43" t="str">
            <v>UR 4RS</v>
          </cell>
          <cell r="D43">
            <v>1</v>
          </cell>
          <cell r="E43">
            <v>0</v>
          </cell>
          <cell r="G43">
            <v>6500000</v>
          </cell>
          <cell r="H43">
            <v>7500000</v>
          </cell>
          <cell r="I43" t="str">
            <v>Nomenclature changed&amp; upgraded</v>
          </cell>
        </row>
        <row r="44">
          <cell r="B44" t="str">
            <v>Senior Research Officer-Socio Economist</v>
          </cell>
          <cell r="C44" t="str">
            <v>UR 4RS</v>
          </cell>
          <cell r="D44">
            <v>1</v>
          </cell>
          <cell r="E44">
            <v>0</v>
          </cell>
          <cell r="G44">
            <v>6500000</v>
          </cell>
          <cell r="H44">
            <v>7500000</v>
          </cell>
          <cell r="I44" t="str">
            <v>Nomenclature changed&amp; upgraded</v>
          </cell>
        </row>
        <row r="45">
          <cell r="B45" t="str">
            <v xml:space="preserve">Senior Research Officer- Gender </v>
          </cell>
          <cell r="C45" t="str">
            <v>UR 4RS</v>
          </cell>
          <cell r="D45">
            <v>1</v>
          </cell>
          <cell r="E45">
            <v>0</v>
          </cell>
          <cell r="G45">
            <v>6500000</v>
          </cell>
          <cell r="H45">
            <v>7500000</v>
          </cell>
          <cell r="I45" t="str">
            <v>Nomenclature changed&amp; upgraded</v>
          </cell>
        </row>
        <row r="46">
          <cell r="B46" t="str">
            <v>Marine Engineer</v>
          </cell>
          <cell r="C46" t="str">
            <v>UR 4RS</v>
          </cell>
          <cell r="D46">
            <v>1</v>
          </cell>
          <cell r="E46">
            <v>1</v>
          </cell>
          <cell r="G46">
            <v>6500000</v>
          </cell>
          <cell r="H46">
            <v>7500000</v>
          </cell>
          <cell r="I46" t="str">
            <v>Change in salary</v>
          </cell>
        </row>
        <row r="47">
          <cell r="B47" t="str">
            <v>Marine Captain</v>
          </cell>
          <cell r="C47" t="str">
            <v>UR 4RS</v>
          </cell>
          <cell r="D47">
            <v>1</v>
          </cell>
          <cell r="E47">
            <v>1</v>
          </cell>
          <cell r="G47">
            <v>6500000</v>
          </cell>
          <cell r="H47">
            <v>7500000</v>
          </cell>
          <cell r="I47" t="str">
            <v>Change in salary</v>
          </cell>
        </row>
        <row r="48">
          <cell r="B48" t="str">
            <v>Senior Research Officer</v>
          </cell>
          <cell r="C48" t="str">
            <v>UR 4RS</v>
          </cell>
          <cell r="D48">
            <v>117</v>
          </cell>
          <cell r="G48">
            <v>6500000</v>
          </cell>
          <cell r="H48">
            <v>7500000</v>
          </cell>
          <cell r="I48" t="str">
            <v>Change in salary</v>
          </cell>
        </row>
        <row r="49">
          <cell r="B49" t="str">
            <v xml:space="preserve">Senior Accountant </v>
          </cell>
          <cell r="C49" t="str">
            <v>UR 4Admin</v>
          </cell>
          <cell r="D49">
            <v>7</v>
          </cell>
          <cell r="E49">
            <v>7</v>
          </cell>
          <cell r="G49">
            <v>5500000</v>
          </cell>
          <cell r="H49">
            <v>5500000</v>
          </cell>
        </row>
        <row r="50">
          <cell r="B50" t="str">
            <v>Senior Development Communication Officer</v>
          </cell>
          <cell r="C50" t="str">
            <v>UR 4Admin</v>
          </cell>
          <cell r="D50">
            <v>4</v>
          </cell>
          <cell r="E50">
            <v>2</v>
          </cell>
          <cell r="G50">
            <v>5500000</v>
          </cell>
          <cell r="H50">
            <v>5500000</v>
          </cell>
        </row>
        <row r="51">
          <cell r="B51" t="str">
            <v>Senior Communication Officer</v>
          </cell>
          <cell r="C51" t="str">
            <v>UR 4Admin</v>
          </cell>
          <cell r="D51">
            <v>1</v>
          </cell>
          <cell r="E51">
            <v>1</v>
          </cell>
          <cell r="G51">
            <v>5500000</v>
          </cell>
          <cell r="H51">
            <v>5500000</v>
          </cell>
        </row>
        <row r="52">
          <cell r="B52" t="str">
            <v>Senior Legal  Officer</v>
          </cell>
          <cell r="C52" t="str">
            <v>UR 4Admin</v>
          </cell>
          <cell r="D52">
            <v>1</v>
          </cell>
          <cell r="E52">
            <v>0</v>
          </cell>
          <cell r="G52">
            <v>5500000</v>
          </cell>
          <cell r="H52">
            <v>5500000</v>
          </cell>
          <cell r="I52" t="str">
            <v>Nomenclature changed&amp; upgraded</v>
          </cell>
        </row>
        <row r="53">
          <cell r="B53" t="str">
            <v>Senior Human Resource Officer</v>
          </cell>
          <cell r="C53" t="str">
            <v>UR 4Admin</v>
          </cell>
          <cell r="D53">
            <v>1</v>
          </cell>
          <cell r="E53">
            <v>1</v>
          </cell>
          <cell r="G53">
            <v>5500000</v>
          </cell>
          <cell r="H53">
            <v>5500000</v>
          </cell>
          <cell r="I53" t="str">
            <v>Upgraded position</v>
          </cell>
        </row>
        <row r="54">
          <cell r="B54" t="str">
            <v>Senior Human Resource &amp; Administrative Officer</v>
          </cell>
          <cell r="C54" t="str">
            <v>UR 4Admin</v>
          </cell>
          <cell r="D54">
            <v>5</v>
          </cell>
          <cell r="E54">
            <v>4</v>
          </cell>
          <cell r="G54">
            <v>5500000</v>
          </cell>
          <cell r="H54">
            <v>5500000</v>
          </cell>
        </row>
        <row r="55">
          <cell r="B55" t="str">
            <v>Senior Internal Auditor</v>
          </cell>
          <cell r="C55" t="str">
            <v>UR 4Admin</v>
          </cell>
          <cell r="D55">
            <v>7</v>
          </cell>
          <cell r="E55">
            <v>4</v>
          </cell>
          <cell r="G55">
            <v>5500000</v>
          </cell>
          <cell r="H55">
            <v>5500000</v>
          </cell>
        </row>
        <row r="56">
          <cell r="B56" t="str">
            <v>Principal  Administrative Assistant G.II</v>
          </cell>
          <cell r="C56" t="str">
            <v>UR 4Admin</v>
          </cell>
          <cell r="D56">
            <v>1</v>
          </cell>
          <cell r="E56">
            <v>1</v>
          </cell>
          <cell r="G56">
            <v>5500000</v>
          </cell>
          <cell r="H56">
            <v>5500000</v>
          </cell>
        </row>
        <row r="57">
          <cell r="B57" t="str">
            <v>Principal  Administrative Assistant G.II</v>
          </cell>
          <cell r="C57" t="str">
            <v>UR 4Admin</v>
          </cell>
          <cell r="D57">
            <v>1</v>
          </cell>
          <cell r="E57">
            <v>0</v>
          </cell>
          <cell r="G57">
            <v>5500000</v>
          </cell>
          <cell r="H57">
            <v>5500000</v>
          </cell>
        </row>
        <row r="58">
          <cell r="B58" t="str">
            <v>Senior Procurement Officer</v>
          </cell>
          <cell r="C58" t="str">
            <v>UR 4Admin</v>
          </cell>
          <cell r="D58">
            <v>9</v>
          </cell>
          <cell r="E58">
            <v>6</v>
          </cell>
          <cell r="G58">
            <v>5500000</v>
          </cell>
          <cell r="H58">
            <v>5500000</v>
          </cell>
        </row>
        <row r="59">
          <cell r="B59" t="str">
            <v xml:space="preserve">Senior Administrative Officer </v>
          </cell>
          <cell r="C59" t="str">
            <v>UR 4Admin</v>
          </cell>
          <cell r="D59">
            <v>1</v>
          </cell>
          <cell r="E59">
            <v>1</v>
          </cell>
          <cell r="G59">
            <v>5500000</v>
          </cell>
          <cell r="H59">
            <v>5500000</v>
          </cell>
        </row>
        <row r="60">
          <cell r="B60" t="str">
            <v>Senior  Information Technology Officer</v>
          </cell>
          <cell r="C60" t="str">
            <v>UR 4RT</v>
          </cell>
          <cell r="D60">
            <v>1</v>
          </cell>
          <cell r="E60">
            <v>1</v>
          </cell>
          <cell r="G60">
            <v>5600000</v>
          </cell>
          <cell r="H60">
            <v>5600000</v>
          </cell>
        </row>
        <row r="61">
          <cell r="B61" t="str">
            <v xml:space="preserve">Senior Principal Technician                                </v>
          </cell>
          <cell r="C61" t="str">
            <v>UR 4RT</v>
          </cell>
          <cell r="D61">
            <v>4</v>
          </cell>
          <cell r="E61">
            <v>1</v>
          </cell>
          <cell r="G61">
            <v>5600000</v>
          </cell>
          <cell r="H61">
            <v>5600000</v>
          </cell>
        </row>
        <row r="62">
          <cell r="B62" t="str">
            <v>Senior Monitoring and Evaluation Officer</v>
          </cell>
          <cell r="C62" t="str">
            <v>UR 4Admin</v>
          </cell>
          <cell r="D62">
            <v>1</v>
          </cell>
          <cell r="E62">
            <v>0</v>
          </cell>
          <cell r="G62">
            <v>5500000</v>
          </cell>
          <cell r="H62">
            <v>5500000</v>
          </cell>
        </row>
        <row r="63">
          <cell r="B63" t="str">
            <v>Senior Procurement Officer</v>
          </cell>
          <cell r="C63" t="str">
            <v>UR 4Admin</v>
          </cell>
          <cell r="D63">
            <v>9</v>
          </cell>
          <cell r="E63">
            <v>6</v>
          </cell>
          <cell r="G63">
            <v>5500000</v>
          </cell>
          <cell r="H63">
            <v>5500000</v>
          </cell>
        </row>
        <row r="64">
          <cell r="B64" t="str">
            <v>Digital Media Officer</v>
          </cell>
          <cell r="C64" t="str">
            <v>UR 5(i)RS</v>
          </cell>
          <cell r="D64">
            <v>1</v>
          </cell>
          <cell r="E64">
            <v>1</v>
          </cell>
          <cell r="G64">
            <v>4800000</v>
          </cell>
          <cell r="H64">
            <v>6000000</v>
          </cell>
        </row>
        <row r="65">
          <cell r="B65" t="str">
            <v>Statistician</v>
          </cell>
          <cell r="C65" t="str">
            <v>UR 5(i)RS</v>
          </cell>
          <cell r="D65">
            <v>1</v>
          </cell>
          <cell r="E65">
            <v>0</v>
          </cell>
          <cell r="G65">
            <v>4800000</v>
          </cell>
          <cell r="H65">
            <v>6000000</v>
          </cell>
        </row>
        <row r="66">
          <cell r="B66" t="str">
            <v xml:space="preserve">Planner </v>
          </cell>
          <cell r="C66" t="str">
            <v>UR 5(i)RS</v>
          </cell>
          <cell r="D66">
            <v>1</v>
          </cell>
          <cell r="E66">
            <v>0</v>
          </cell>
          <cell r="G66">
            <v>4800000</v>
          </cell>
          <cell r="H66">
            <v>6000000</v>
          </cell>
          <cell r="I66" t="str">
            <v xml:space="preserve">New position </v>
          </cell>
        </row>
        <row r="67">
          <cell r="B67" t="str">
            <v>Monitoring and Evaluation Officer</v>
          </cell>
          <cell r="C67" t="str">
            <v>UR 5(i)RS</v>
          </cell>
          <cell r="D67">
            <v>1</v>
          </cell>
          <cell r="E67">
            <v>1</v>
          </cell>
          <cell r="G67">
            <v>4800000</v>
          </cell>
          <cell r="H67">
            <v>6000000</v>
          </cell>
          <cell r="I67">
            <v>0</v>
          </cell>
        </row>
        <row r="68">
          <cell r="B68" t="str">
            <v xml:space="preserve">Econometrician </v>
          </cell>
          <cell r="C68" t="str">
            <v>UR 5(i)RS</v>
          </cell>
          <cell r="D68">
            <v>1</v>
          </cell>
          <cell r="E68">
            <v>1</v>
          </cell>
          <cell r="G68">
            <v>4800000</v>
          </cell>
          <cell r="H68">
            <v>6000000</v>
          </cell>
          <cell r="I68">
            <v>0</v>
          </cell>
        </row>
        <row r="69">
          <cell r="B69" t="str">
            <v xml:space="preserve"> Knowledge Management  Officer(Publication Officer)</v>
          </cell>
          <cell r="C69" t="str">
            <v>UR 5(i)RS</v>
          </cell>
          <cell r="D69">
            <v>1</v>
          </cell>
          <cell r="E69">
            <v>0</v>
          </cell>
          <cell r="G69">
            <v>4800000</v>
          </cell>
          <cell r="H69">
            <v>6000000</v>
          </cell>
          <cell r="I69">
            <v>0</v>
          </cell>
        </row>
        <row r="70">
          <cell r="B70" t="str">
            <v>Partnership Officer</v>
          </cell>
          <cell r="C70" t="str">
            <v>UR 5(i)RS</v>
          </cell>
          <cell r="D70">
            <v>1</v>
          </cell>
          <cell r="E70">
            <v>0</v>
          </cell>
          <cell r="G70">
            <v>4800000</v>
          </cell>
          <cell r="H70">
            <v>6000000</v>
          </cell>
          <cell r="I70" t="str">
            <v xml:space="preserve">New position </v>
          </cell>
        </row>
        <row r="71">
          <cell r="B71" t="str">
            <v xml:space="preserve"> Intellectual Property Management Officer</v>
          </cell>
          <cell r="C71" t="str">
            <v>UR 5(i)RS</v>
          </cell>
          <cell r="D71">
            <v>1</v>
          </cell>
          <cell r="E71">
            <v>0</v>
          </cell>
          <cell r="G71">
            <v>4800000</v>
          </cell>
          <cell r="H71">
            <v>6000000</v>
          </cell>
          <cell r="I71" t="str">
            <v xml:space="preserve">New position </v>
          </cell>
        </row>
        <row r="72">
          <cell r="B72" t="str">
            <v>First Officer</v>
          </cell>
          <cell r="C72" t="str">
            <v>UR 5(i)RS</v>
          </cell>
          <cell r="D72">
            <v>1</v>
          </cell>
          <cell r="E72">
            <v>0</v>
          </cell>
          <cell r="G72">
            <v>4800000</v>
          </cell>
          <cell r="H72">
            <v>6000000</v>
          </cell>
          <cell r="I72">
            <v>0</v>
          </cell>
        </row>
        <row r="73">
          <cell r="B73" t="str">
            <v>Research Officer-Quality Control</v>
          </cell>
          <cell r="C73" t="str">
            <v>UR 5(i)RS</v>
          </cell>
          <cell r="D73">
            <v>2</v>
          </cell>
          <cell r="E73">
            <v>0</v>
          </cell>
          <cell r="G73">
            <v>4800000</v>
          </cell>
          <cell r="H73">
            <v>6000000</v>
          </cell>
          <cell r="I73">
            <v>0</v>
          </cell>
        </row>
        <row r="74">
          <cell r="B74" t="str">
            <v>Research Officer-Planning</v>
          </cell>
          <cell r="C74" t="str">
            <v>UR 5(i)RS</v>
          </cell>
          <cell r="D74">
            <v>8</v>
          </cell>
          <cell r="E74">
            <v>0</v>
          </cell>
          <cell r="G74">
            <v>4800000</v>
          </cell>
          <cell r="H74">
            <v>6000000</v>
          </cell>
          <cell r="I74">
            <v>0</v>
          </cell>
        </row>
        <row r="75">
          <cell r="B75" t="str">
            <v xml:space="preserve">Food Chemist </v>
          </cell>
          <cell r="C75" t="str">
            <v>UR 5(i)RS</v>
          </cell>
          <cell r="D75">
            <v>2</v>
          </cell>
          <cell r="E75">
            <v>0</v>
          </cell>
          <cell r="G75">
            <v>4800000</v>
          </cell>
          <cell r="H75">
            <v>6000000</v>
          </cell>
          <cell r="I75" t="str">
            <v xml:space="preserve">New position </v>
          </cell>
        </row>
        <row r="76">
          <cell r="B76" t="str">
            <v>Sugar Technologist</v>
          </cell>
          <cell r="C76" t="str">
            <v>UR 5(i)RS</v>
          </cell>
          <cell r="D76">
            <v>1</v>
          </cell>
          <cell r="E76">
            <v>1</v>
          </cell>
          <cell r="G76">
            <v>4800000</v>
          </cell>
          <cell r="H76">
            <v>6000000</v>
          </cell>
          <cell r="I76" t="str">
            <v xml:space="preserve">New position </v>
          </cell>
        </row>
        <row r="77">
          <cell r="B77" t="str">
            <v xml:space="preserve">Research Officer                                                  </v>
          </cell>
          <cell r="C77" t="str">
            <v>UR 5(i)RS</v>
          </cell>
          <cell r="D77">
            <v>197</v>
          </cell>
          <cell r="E77">
            <v>112</v>
          </cell>
          <cell r="G77">
            <v>4800000</v>
          </cell>
          <cell r="H77">
            <v>6000000</v>
          </cell>
          <cell r="I77">
            <v>0</v>
          </cell>
        </row>
        <row r="78">
          <cell r="B78" t="str">
            <v>Civil Engineer</v>
          </cell>
          <cell r="C78" t="str">
            <v>UR 5(i)RT</v>
          </cell>
          <cell r="D78">
            <v>1</v>
          </cell>
          <cell r="E78">
            <v>1</v>
          </cell>
          <cell r="G78">
            <v>4000000</v>
          </cell>
          <cell r="H78">
            <v>4500000</v>
          </cell>
          <cell r="I78">
            <v>0</v>
          </cell>
        </row>
        <row r="79">
          <cell r="B79" t="str">
            <v xml:space="preserve">Data and Information Management Officer </v>
          </cell>
          <cell r="C79" t="str">
            <v>UR 5(i)RT</v>
          </cell>
          <cell r="D79">
            <v>1</v>
          </cell>
          <cell r="E79">
            <v>0</v>
          </cell>
          <cell r="G79">
            <v>4000000</v>
          </cell>
          <cell r="H79">
            <v>4500000</v>
          </cell>
          <cell r="I79" t="str">
            <v xml:space="preserve">New position </v>
          </cell>
        </row>
        <row r="80">
          <cell r="B80" t="str">
            <v>Farm Manager</v>
          </cell>
          <cell r="C80" t="str">
            <v>UR 5(i)RT</v>
          </cell>
          <cell r="D80">
            <v>17</v>
          </cell>
          <cell r="E80">
            <v>17</v>
          </cell>
          <cell r="G80">
            <v>4000000</v>
          </cell>
          <cell r="H80">
            <v>4500000</v>
          </cell>
          <cell r="I80">
            <v>0</v>
          </cell>
        </row>
        <row r="81">
          <cell r="B81" t="str">
            <v>First Officer</v>
          </cell>
          <cell r="C81" t="str">
            <v>UR 5(i)RT</v>
          </cell>
          <cell r="D81">
            <v>1</v>
          </cell>
          <cell r="E81">
            <v>0</v>
          </cell>
          <cell r="G81">
            <v>4000000</v>
          </cell>
          <cell r="H81">
            <v>4500000</v>
          </cell>
          <cell r="I81">
            <v>0</v>
          </cell>
        </row>
        <row r="82">
          <cell r="B82" t="str">
            <v>Information Technology Officer</v>
          </cell>
          <cell r="C82" t="str">
            <v>UR 5(i)RT</v>
          </cell>
          <cell r="D82">
            <v>19</v>
          </cell>
          <cell r="E82">
            <v>8</v>
          </cell>
          <cell r="G82">
            <v>4000000</v>
          </cell>
          <cell r="H82">
            <v>4500000</v>
          </cell>
          <cell r="I82">
            <v>0</v>
          </cell>
        </row>
        <row r="83">
          <cell r="B83" t="str">
            <v xml:space="preserve">Information Technology Officer-Digitization </v>
          </cell>
          <cell r="C83" t="str">
            <v>UR 5(i)RT</v>
          </cell>
          <cell r="D83">
            <v>1</v>
          </cell>
          <cell r="E83">
            <v>0</v>
          </cell>
          <cell r="G83">
            <v>4000000</v>
          </cell>
          <cell r="H83">
            <v>4500000</v>
          </cell>
          <cell r="I83" t="str">
            <v xml:space="preserve">New position </v>
          </cell>
        </row>
        <row r="84">
          <cell r="B84" t="str">
            <v>Policy and Market Analyst</v>
          </cell>
          <cell r="C84" t="str">
            <v>UR 5(i)RT</v>
          </cell>
          <cell r="D84">
            <v>1</v>
          </cell>
          <cell r="E84">
            <v>0</v>
          </cell>
          <cell r="G84">
            <v>4000000</v>
          </cell>
          <cell r="H84">
            <v>4500000</v>
          </cell>
          <cell r="I84" t="str">
            <v xml:space="preserve">New position </v>
          </cell>
        </row>
        <row r="85">
          <cell r="B85" t="str">
            <v>Principal Technician</v>
          </cell>
          <cell r="C85" t="str">
            <v>UR 5(i)RT</v>
          </cell>
          <cell r="D85">
            <v>30</v>
          </cell>
          <cell r="E85">
            <v>5</v>
          </cell>
          <cell r="G85">
            <v>4000000</v>
          </cell>
          <cell r="H85">
            <v>4500000</v>
          </cell>
          <cell r="I85" t="str">
            <v xml:space="preserve">New position </v>
          </cell>
        </row>
        <row r="86">
          <cell r="B86" t="str">
            <v>Principal Technician-Tick Colony Management</v>
          </cell>
          <cell r="C86" t="str">
            <v>UR 5(i)RT</v>
          </cell>
          <cell r="D86">
            <v>2</v>
          </cell>
          <cell r="E86">
            <v>0</v>
          </cell>
          <cell r="G86">
            <v>4000000</v>
          </cell>
          <cell r="H86">
            <v>4500000</v>
          </cell>
          <cell r="I86" t="str">
            <v xml:space="preserve">New position </v>
          </cell>
        </row>
        <row r="87">
          <cell r="B87" t="str">
            <v>Principal Technician-Equipment</v>
          </cell>
          <cell r="C87" t="str">
            <v>UR 5(i)RT</v>
          </cell>
          <cell r="D87">
            <v>2</v>
          </cell>
          <cell r="E87">
            <v>0</v>
          </cell>
          <cell r="G87">
            <v>4000000</v>
          </cell>
          <cell r="H87">
            <v>4500000</v>
          </cell>
          <cell r="I87" t="str">
            <v xml:space="preserve">New position </v>
          </cell>
        </row>
        <row r="88">
          <cell r="B88" t="str">
            <v xml:space="preserve">Principal Technician-Vaccine Production </v>
          </cell>
          <cell r="C88" t="str">
            <v>UR 5(i)RT</v>
          </cell>
          <cell r="D88">
            <v>6</v>
          </cell>
          <cell r="E88">
            <v>0</v>
          </cell>
          <cell r="G88">
            <v>4000000</v>
          </cell>
          <cell r="H88">
            <v>4500000</v>
          </cell>
          <cell r="I88" t="str">
            <v xml:space="preserve">New position </v>
          </cell>
        </row>
        <row r="89">
          <cell r="B89" t="str">
            <v>Statistician</v>
          </cell>
          <cell r="C89" t="str">
            <v>UR 5(i)RT</v>
          </cell>
          <cell r="D89">
            <v>1</v>
          </cell>
          <cell r="E89">
            <v>0</v>
          </cell>
          <cell r="G89">
            <v>4000000</v>
          </cell>
          <cell r="H89">
            <v>4500000</v>
          </cell>
          <cell r="I89">
            <v>0</v>
          </cell>
        </row>
        <row r="90">
          <cell r="B90" t="str">
            <v>System Network Administrator</v>
          </cell>
          <cell r="C90" t="str">
            <v>UR 5(ii)RT</v>
          </cell>
          <cell r="D90">
            <v>1</v>
          </cell>
          <cell r="E90">
            <v>0</v>
          </cell>
          <cell r="G90">
            <v>3000000</v>
          </cell>
          <cell r="H90">
            <v>3600000</v>
          </cell>
          <cell r="I90">
            <v>0</v>
          </cell>
        </row>
        <row r="91">
          <cell r="B91" t="str">
            <v xml:space="preserve">Enviromental Safeguard Officer </v>
          </cell>
          <cell r="C91" t="str">
            <v>UR 5(ii)RT</v>
          </cell>
          <cell r="D91">
            <v>1</v>
          </cell>
          <cell r="E91">
            <v>0</v>
          </cell>
          <cell r="G91">
            <v>3000000</v>
          </cell>
          <cell r="H91">
            <v>3600000</v>
          </cell>
          <cell r="I91" t="str">
            <v xml:space="preserve">New position </v>
          </cell>
        </row>
        <row r="92">
          <cell r="B92" t="str">
            <v>Senior Technician</v>
          </cell>
          <cell r="C92" t="str">
            <v>UR 5(ii)RT</v>
          </cell>
          <cell r="D92">
            <v>85</v>
          </cell>
          <cell r="E92">
            <v>11</v>
          </cell>
          <cell r="G92">
            <v>3000000</v>
          </cell>
          <cell r="H92">
            <v>3600000</v>
          </cell>
          <cell r="I92">
            <v>0</v>
          </cell>
        </row>
        <row r="93">
          <cell r="B93" t="str">
            <v>Accountant</v>
          </cell>
          <cell r="C93" t="str">
            <v>UR 5(i)Admin</v>
          </cell>
          <cell r="G93">
            <v>3500000</v>
          </cell>
          <cell r="H93">
            <v>3500000</v>
          </cell>
          <cell r="I93">
            <v>0</v>
          </cell>
        </row>
        <row r="94">
          <cell r="B94" t="str">
            <v>Development Communication Officer</v>
          </cell>
          <cell r="C94" t="str">
            <v>UR 5(i)Admin</v>
          </cell>
          <cell r="D94">
            <v>12</v>
          </cell>
          <cell r="E94">
            <v>12</v>
          </cell>
          <cell r="G94">
            <v>3500000</v>
          </cell>
          <cell r="H94">
            <v>3500000</v>
          </cell>
          <cell r="I94">
            <v>0</v>
          </cell>
        </row>
        <row r="95">
          <cell r="B95" t="str">
            <v xml:space="preserve">Bio-Safety Secretary/Officer </v>
          </cell>
          <cell r="C95" t="str">
            <v>UR 5(i)Admin</v>
          </cell>
          <cell r="D95">
            <v>1</v>
          </cell>
          <cell r="E95">
            <v>1</v>
          </cell>
          <cell r="G95">
            <v>3500000</v>
          </cell>
          <cell r="H95">
            <v>3500000</v>
          </cell>
          <cell r="I95" t="str">
            <v xml:space="preserve">New position </v>
          </cell>
        </row>
        <row r="96">
          <cell r="B96" t="str">
            <v>Documentation Officer</v>
          </cell>
          <cell r="C96" t="str">
            <v>UR 5(i)Admin</v>
          </cell>
          <cell r="D96">
            <v>1</v>
          </cell>
          <cell r="E96">
            <v>0</v>
          </cell>
          <cell r="G96">
            <v>3500000</v>
          </cell>
          <cell r="H96">
            <v>3500000</v>
          </cell>
          <cell r="I96">
            <v>0</v>
          </cell>
        </row>
        <row r="97">
          <cell r="B97" t="str">
            <v>Estate Manager</v>
          </cell>
          <cell r="C97" t="str">
            <v>UR 5(i)Admin</v>
          </cell>
          <cell r="D97">
            <v>1</v>
          </cell>
          <cell r="E97">
            <v>0</v>
          </cell>
          <cell r="G97">
            <v>3500000</v>
          </cell>
          <cell r="H97">
            <v>3500000</v>
          </cell>
          <cell r="I97">
            <v>0</v>
          </cell>
        </row>
        <row r="98">
          <cell r="B98" t="str">
            <v>Gender Officer</v>
          </cell>
          <cell r="C98" t="str">
            <v>UR 5(i)Admin</v>
          </cell>
          <cell r="D98">
            <v>1</v>
          </cell>
          <cell r="E98">
            <v>0</v>
          </cell>
          <cell r="G98">
            <v>3500000</v>
          </cell>
          <cell r="H98">
            <v>3500000</v>
          </cell>
          <cell r="I98">
            <v>0</v>
          </cell>
        </row>
        <row r="99">
          <cell r="B99" t="str">
            <v>Human Resource &amp; Administrative Officer</v>
          </cell>
          <cell r="C99" t="str">
            <v>UR 5(i)Admin</v>
          </cell>
          <cell r="D99">
            <v>9</v>
          </cell>
          <cell r="E99">
            <v>8</v>
          </cell>
          <cell r="G99">
            <v>3500000</v>
          </cell>
          <cell r="H99">
            <v>3500000</v>
          </cell>
          <cell r="I99">
            <v>0</v>
          </cell>
        </row>
        <row r="100">
          <cell r="B100" t="str">
            <v>Internal Auditor</v>
          </cell>
          <cell r="C100" t="str">
            <v>UR 5(i)Admin</v>
          </cell>
          <cell r="D100">
            <v>9</v>
          </cell>
          <cell r="E100">
            <v>9</v>
          </cell>
          <cell r="G100">
            <v>3500000</v>
          </cell>
          <cell r="H100">
            <v>3500000</v>
          </cell>
          <cell r="I100">
            <v>0</v>
          </cell>
        </row>
        <row r="101">
          <cell r="B101" t="str">
            <v>Legal  Officer</v>
          </cell>
          <cell r="C101" t="str">
            <v>UR 5(i)Admin</v>
          </cell>
          <cell r="D101">
            <v>1</v>
          </cell>
          <cell r="E101">
            <v>0</v>
          </cell>
          <cell r="G101">
            <v>3500000</v>
          </cell>
          <cell r="H101">
            <v>3500000</v>
          </cell>
          <cell r="I101" t="str">
            <v xml:space="preserve">New position </v>
          </cell>
        </row>
        <row r="102">
          <cell r="B102" t="str">
            <v>Librarian</v>
          </cell>
          <cell r="C102" t="str">
            <v>UR 5(i)Admin</v>
          </cell>
          <cell r="D102">
            <v>1</v>
          </cell>
          <cell r="E102">
            <v>1</v>
          </cell>
          <cell r="G102">
            <v>3500000</v>
          </cell>
          <cell r="H102">
            <v>3500000</v>
          </cell>
          <cell r="I102">
            <v>0</v>
          </cell>
        </row>
        <row r="103">
          <cell r="B103" t="str">
            <v>Procurement Officer</v>
          </cell>
          <cell r="C103" t="str">
            <v>UR 5(i)Admin</v>
          </cell>
          <cell r="D103">
            <v>10</v>
          </cell>
          <cell r="E103">
            <v>13</v>
          </cell>
          <cell r="G103">
            <v>3500000</v>
          </cell>
          <cell r="H103">
            <v>3500000</v>
          </cell>
          <cell r="I103">
            <v>0</v>
          </cell>
        </row>
        <row r="104">
          <cell r="B104" t="str">
            <v xml:space="preserve">Records Officer </v>
          </cell>
          <cell r="C104" t="str">
            <v>UR 5(i)Admin</v>
          </cell>
          <cell r="D104">
            <v>1</v>
          </cell>
          <cell r="E104">
            <v>1</v>
          </cell>
          <cell r="G104">
            <v>3500000</v>
          </cell>
          <cell r="H104">
            <v>3500000</v>
          </cell>
          <cell r="I104">
            <v>0</v>
          </cell>
        </row>
        <row r="105">
          <cell r="B105" t="str">
            <v>Senior Administrative Assistant Grade I</v>
          </cell>
          <cell r="C105" t="str">
            <v>UR 5(i)Admin</v>
          </cell>
          <cell r="D105">
            <v>13</v>
          </cell>
          <cell r="E105">
            <v>12</v>
          </cell>
          <cell r="G105">
            <v>3500000</v>
          </cell>
          <cell r="H105">
            <v>3500000</v>
          </cell>
          <cell r="I105">
            <v>0</v>
          </cell>
        </row>
        <row r="106">
          <cell r="C106" t="str">
            <v>UR 5(ii)Admin</v>
          </cell>
          <cell r="G106">
            <v>2500000</v>
          </cell>
          <cell r="H106">
            <v>2500000</v>
          </cell>
          <cell r="I106">
            <v>0</v>
          </cell>
        </row>
        <row r="107">
          <cell r="B107" t="str">
            <v>Inventory Management Officer</v>
          </cell>
          <cell r="C107" t="str">
            <v>UR 5(i)Admin</v>
          </cell>
          <cell r="D107">
            <v>2</v>
          </cell>
          <cell r="E107">
            <v>0</v>
          </cell>
          <cell r="G107">
            <v>3500000</v>
          </cell>
          <cell r="H107">
            <v>3500000</v>
          </cell>
          <cell r="I107" t="str">
            <v>upgraded salary scale</v>
          </cell>
        </row>
        <row r="109">
          <cell r="B109" t="str">
            <v>Assistant Inventory Management Officer</v>
          </cell>
          <cell r="C109" t="str">
            <v>UR 6Admin</v>
          </cell>
          <cell r="D109">
            <v>12</v>
          </cell>
          <cell r="G109">
            <v>1800000</v>
          </cell>
          <cell r="H109">
            <v>1800000</v>
          </cell>
          <cell r="I109">
            <v>0</v>
          </cell>
        </row>
        <row r="110">
          <cell r="B110" t="str">
            <v>Estate Maintainance Officer</v>
          </cell>
          <cell r="C110" t="str">
            <v>UR 5(i)Admin</v>
          </cell>
          <cell r="D110">
            <v>1</v>
          </cell>
          <cell r="E110">
            <v>0</v>
          </cell>
          <cell r="G110">
            <v>3500000</v>
          </cell>
          <cell r="H110">
            <v>3500000</v>
          </cell>
          <cell r="I110">
            <v>0</v>
          </cell>
        </row>
        <row r="111">
          <cell r="B111" t="str">
            <v>Senior Administrative Assistant G.II</v>
          </cell>
          <cell r="C111" t="str">
            <v>UR 5(ii)Admin</v>
          </cell>
          <cell r="D111">
            <v>16</v>
          </cell>
          <cell r="E111">
            <v>14</v>
          </cell>
          <cell r="G111">
            <v>2500000</v>
          </cell>
          <cell r="H111">
            <v>2500000</v>
          </cell>
          <cell r="I111">
            <v>0</v>
          </cell>
        </row>
        <row r="112">
          <cell r="B112" t="str">
            <v>Senior Assistant Accountant</v>
          </cell>
          <cell r="C112" t="str">
            <v>UR 5(ii)Admin</v>
          </cell>
          <cell r="D112">
            <v>19</v>
          </cell>
          <cell r="G112">
            <v>2500000</v>
          </cell>
          <cell r="H112">
            <v>2500000</v>
          </cell>
          <cell r="I112">
            <v>0</v>
          </cell>
        </row>
        <row r="113">
          <cell r="B113" t="str">
            <v>Assistant Farm Manager</v>
          </cell>
          <cell r="C113" t="str">
            <v>UR 6RT</v>
          </cell>
          <cell r="D113">
            <v>3</v>
          </cell>
          <cell r="E113">
            <v>0</v>
          </cell>
          <cell r="G113">
            <v>2300000</v>
          </cell>
          <cell r="H113">
            <v>2600000</v>
          </cell>
          <cell r="I113">
            <v>0</v>
          </cell>
        </row>
        <row r="114">
          <cell r="B114" t="str">
            <v>Assistant Farm Manager -Irrigation Engineering</v>
          </cell>
          <cell r="C114" t="str">
            <v>UR 6RT</v>
          </cell>
          <cell r="D114">
            <v>1</v>
          </cell>
          <cell r="E114">
            <v>0</v>
          </cell>
          <cell r="G114">
            <v>2300000</v>
          </cell>
          <cell r="H114">
            <v>2600000</v>
          </cell>
          <cell r="I114">
            <v>0</v>
          </cell>
        </row>
        <row r="115">
          <cell r="B115" t="str">
            <v>Commercialisation Officer</v>
          </cell>
          <cell r="C115" t="str">
            <v>UR 6RT</v>
          </cell>
          <cell r="D115">
            <v>1</v>
          </cell>
          <cell r="E115">
            <v>0</v>
          </cell>
          <cell r="G115">
            <v>2300000</v>
          </cell>
          <cell r="H115">
            <v>2600000</v>
          </cell>
          <cell r="I115" t="str">
            <v xml:space="preserve">New position </v>
          </cell>
        </row>
        <row r="116">
          <cell r="B116" t="str">
            <v>Marine Technician</v>
          </cell>
          <cell r="C116" t="str">
            <v>UR 6RT</v>
          </cell>
          <cell r="D116">
            <v>2</v>
          </cell>
          <cell r="E116">
            <v>1</v>
          </cell>
          <cell r="G116">
            <v>2300000</v>
          </cell>
          <cell r="H116">
            <v>2600000</v>
          </cell>
          <cell r="I116">
            <v>0</v>
          </cell>
        </row>
        <row r="117">
          <cell r="B117" t="str">
            <v>Mechanical Technician</v>
          </cell>
          <cell r="C117" t="str">
            <v>UR 6RT</v>
          </cell>
          <cell r="D117">
            <v>1</v>
          </cell>
          <cell r="E117">
            <v>0</v>
          </cell>
          <cell r="G117">
            <v>2300000</v>
          </cell>
          <cell r="H117">
            <v>2600000</v>
          </cell>
          <cell r="I117">
            <v>0</v>
          </cell>
        </row>
        <row r="118">
          <cell r="B118" t="str">
            <v>Technician</v>
          </cell>
          <cell r="C118" t="str">
            <v>UR 6RT</v>
          </cell>
          <cell r="D118">
            <v>143</v>
          </cell>
          <cell r="G118">
            <v>2300000</v>
          </cell>
          <cell r="H118">
            <v>2600000</v>
          </cell>
          <cell r="I118">
            <v>0</v>
          </cell>
        </row>
        <row r="119">
          <cell r="B119" t="str">
            <v xml:space="preserve">Administrative Assistant </v>
          </cell>
          <cell r="C119" t="str">
            <v>UR 6Admin</v>
          </cell>
          <cell r="D119">
            <v>7</v>
          </cell>
          <cell r="G119">
            <v>1800000</v>
          </cell>
          <cell r="H119">
            <v>1800000</v>
          </cell>
          <cell r="I119">
            <v>0</v>
          </cell>
        </row>
        <row r="120">
          <cell r="B120" t="str">
            <v>Assistant Accountant</v>
          </cell>
          <cell r="C120" t="str">
            <v>UR 6Admin</v>
          </cell>
          <cell r="G120">
            <v>1800000</v>
          </cell>
          <cell r="H120">
            <v>1800000</v>
          </cell>
          <cell r="I120">
            <v>0</v>
          </cell>
        </row>
        <row r="121">
          <cell r="B121" t="str">
            <v>Assistant Records Officer</v>
          </cell>
          <cell r="C121" t="str">
            <v>UR 6Admin</v>
          </cell>
          <cell r="D121">
            <v>1</v>
          </cell>
          <cell r="E121">
            <v>1</v>
          </cell>
          <cell r="G121">
            <v>1800000</v>
          </cell>
          <cell r="H121">
            <v>3500000</v>
          </cell>
          <cell r="I121">
            <v>0</v>
          </cell>
        </row>
        <row r="122">
          <cell r="B122" t="str">
            <v>Assistant Estate Manager</v>
          </cell>
          <cell r="C122" t="str">
            <v>UR 6Admin</v>
          </cell>
          <cell r="D122">
            <v>1</v>
          </cell>
          <cell r="E122">
            <v>1</v>
          </cell>
          <cell r="G122">
            <v>1800000</v>
          </cell>
          <cell r="H122">
            <v>1800000</v>
          </cell>
          <cell r="I122">
            <v>0</v>
          </cell>
        </row>
        <row r="123">
          <cell r="B123" t="str">
            <v>Assistant Inventory Management Officer</v>
          </cell>
          <cell r="C123" t="str">
            <v>UR 6Admin</v>
          </cell>
          <cell r="G123">
            <v>1800000</v>
          </cell>
          <cell r="H123">
            <v>1800000</v>
          </cell>
          <cell r="I123">
            <v>0</v>
          </cell>
        </row>
        <row r="124">
          <cell r="B124" t="str">
            <v>Records Assistant</v>
          </cell>
          <cell r="C124" t="str">
            <v>UR 6Admin</v>
          </cell>
          <cell r="D124">
            <v>3</v>
          </cell>
          <cell r="E124">
            <v>3</v>
          </cell>
          <cell r="G124">
            <v>1800000</v>
          </cell>
          <cell r="H124">
            <v>1800000</v>
          </cell>
          <cell r="I124">
            <v>0</v>
          </cell>
        </row>
        <row r="125">
          <cell r="B125" t="str">
            <v>Electrician</v>
          </cell>
          <cell r="C125" t="str">
            <v>UR 6Admin</v>
          </cell>
          <cell r="D125">
            <v>2</v>
          </cell>
          <cell r="E125">
            <v>1</v>
          </cell>
          <cell r="G125">
            <v>1800000</v>
          </cell>
          <cell r="H125">
            <v>1800000</v>
          </cell>
          <cell r="I125">
            <v>0</v>
          </cell>
        </row>
        <row r="126">
          <cell r="B126" t="str">
            <v>Workshop Supervisor</v>
          </cell>
          <cell r="C126" t="str">
            <v>UR 6Admin</v>
          </cell>
          <cell r="D126">
            <v>1</v>
          </cell>
          <cell r="E126">
            <v>0</v>
          </cell>
          <cell r="G126">
            <v>1800000</v>
          </cell>
          <cell r="H126">
            <v>1800000</v>
          </cell>
          <cell r="I126">
            <v>0</v>
          </cell>
        </row>
        <row r="127">
          <cell r="B127" t="str">
            <v xml:space="preserve">Drivers </v>
          </cell>
          <cell r="C127" t="str">
            <v>UR 7</v>
          </cell>
          <cell r="D127">
            <v>88</v>
          </cell>
          <cell r="E127">
            <v>69</v>
          </cell>
          <cell r="G127">
            <v>1300000</v>
          </cell>
          <cell r="H127">
            <v>1300000</v>
          </cell>
          <cell r="I127">
            <v>0</v>
          </cell>
        </row>
        <row r="128">
          <cell r="B128" t="str">
            <v>Carpenter</v>
          </cell>
          <cell r="C128" t="str">
            <v>UR 7</v>
          </cell>
          <cell r="D128">
            <v>3</v>
          </cell>
          <cell r="E128">
            <v>0</v>
          </cell>
          <cell r="G128">
            <v>1300000</v>
          </cell>
          <cell r="H128">
            <v>1300000</v>
          </cell>
          <cell r="I128">
            <v>0</v>
          </cell>
        </row>
        <row r="129">
          <cell r="B129" t="str">
            <v>Coxswain/Deckhand</v>
          </cell>
          <cell r="C129" t="str">
            <v>UR 7</v>
          </cell>
          <cell r="D129">
            <v>4</v>
          </cell>
          <cell r="E129">
            <v>2</v>
          </cell>
          <cell r="G129">
            <v>1300000</v>
          </cell>
          <cell r="H129">
            <v>1300000</v>
          </cell>
          <cell r="I129">
            <v>0</v>
          </cell>
        </row>
        <row r="130">
          <cell r="B130" t="str">
            <v xml:space="preserve">Kitchen Attendant </v>
          </cell>
          <cell r="C130" t="str">
            <v>UR 7</v>
          </cell>
          <cell r="D130">
            <v>2</v>
          </cell>
          <cell r="E130">
            <v>2</v>
          </cell>
          <cell r="G130">
            <v>1300000</v>
          </cell>
          <cell r="H130">
            <v>1300000</v>
          </cell>
          <cell r="I130" t="str">
            <v>changed nomeclature</v>
          </cell>
        </row>
        <row r="131">
          <cell r="B131" t="str">
            <v>Mechanic</v>
          </cell>
          <cell r="C131" t="str">
            <v>UR 7</v>
          </cell>
          <cell r="D131">
            <v>5</v>
          </cell>
          <cell r="E131">
            <v>1</v>
          </cell>
          <cell r="G131">
            <v>1300000</v>
          </cell>
          <cell r="H131">
            <v>1300000</v>
          </cell>
          <cell r="I131">
            <v>0</v>
          </cell>
        </row>
        <row r="132">
          <cell r="B132" t="str">
            <v>Plumber</v>
          </cell>
          <cell r="C132" t="str">
            <v>UR 7</v>
          </cell>
          <cell r="D132">
            <v>2</v>
          </cell>
          <cell r="E132">
            <v>1</v>
          </cell>
          <cell r="G132">
            <v>1300000</v>
          </cell>
          <cell r="H132">
            <v>1300000</v>
          </cell>
          <cell r="I132">
            <v>0</v>
          </cell>
        </row>
        <row r="133">
          <cell r="B133" t="str">
            <v xml:space="preserve">Saw Doctor </v>
          </cell>
          <cell r="C133" t="str">
            <v>UR 7</v>
          </cell>
          <cell r="D133">
            <v>1</v>
          </cell>
          <cell r="E133">
            <v>1</v>
          </cell>
          <cell r="G133">
            <v>1300000</v>
          </cell>
          <cell r="H133">
            <v>1300000</v>
          </cell>
          <cell r="I133" t="str">
            <v xml:space="preserve">New position </v>
          </cell>
        </row>
        <row r="134">
          <cell r="B134" t="str">
            <v xml:space="preserve">Skipper </v>
          </cell>
          <cell r="C134" t="str">
            <v>UR 7</v>
          </cell>
          <cell r="D134">
            <v>1</v>
          </cell>
          <cell r="E134">
            <v>0</v>
          </cell>
          <cell r="G134">
            <v>1300000</v>
          </cell>
          <cell r="H134">
            <v>1300000</v>
          </cell>
          <cell r="I134">
            <v>0</v>
          </cell>
        </row>
        <row r="135">
          <cell r="B135" t="str">
            <v>Tractor Operator</v>
          </cell>
          <cell r="C135" t="str">
            <v>UR 7</v>
          </cell>
          <cell r="D135">
            <v>10</v>
          </cell>
          <cell r="E135">
            <v>4</v>
          </cell>
          <cell r="G135">
            <v>1200000</v>
          </cell>
          <cell r="H135">
            <v>1300000</v>
          </cell>
          <cell r="I135" t="str">
            <v xml:space="preserve">changed salary scale and salary </v>
          </cell>
        </row>
        <row r="136">
          <cell r="B136" t="str">
            <v xml:space="preserve">Offfice attendant </v>
          </cell>
          <cell r="C136" t="str">
            <v>UR 8</v>
          </cell>
          <cell r="D136">
            <v>21</v>
          </cell>
          <cell r="E136">
            <v>9</v>
          </cell>
          <cell r="G136">
            <v>1200000</v>
          </cell>
          <cell r="H136">
            <v>1200000</v>
          </cell>
          <cell r="I136">
            <v>0</v>
          </cell>
        </row>
        <row r="137">
          <cell r="B137" t="str">
            <v xml:space="preserve">Nursery Attendant </v>
          </cell>
          <cell r="C137" t="str">
            <v>UR 8</v>
          </cell>
          <cell r="D137">
            <v>3</v>
          </cell>
          <cell r="E137">
            <v>3</v>
          </cell>
          <cell r="G137">
            <v>1200000</v>
          </cell>
          <cell r="H137">
            <v>1200000</v>
          </cell>
          <cell r="I137">
            <v>0</v>
          </cell>
        </row>
        <row r="138">
          <cell r="B138" t="str">
            <v>Security Guard</v>
          </cell>
          <cell r="C138" t="str">
            <v>UR 8</v>
          </cell>
          <cell r="D138">
            <v>50</v>
          </cell>
          <cell r="E138">
            <v>25</v>
          </cell>
          <cell r="G138">
            <v>1200000</v>
          </cell>
          <cell r="H138">
            <v>1200000</v>
          </cell>
          <cell r="I138">
            <v>0</v>
          </cell>
        </row>
        <row r="139">
          <cell r="B139" t="str">
            <v>Security/Forest Guard</v>
          </cell>
          <cell r="C139" t="str">
            <v>UR 8</v>
          </cell>
          <cell r="D139">
            <v>5</v>
          </cell>
          <cell r="E139">
            <v>0</v>
          </cell>
          <cell r="G139">
            <v>1200000</v>
          </cell>
          <cell r="H139">
            <v>1200000</v>
          </cell>
          <cell r="I139">
            <v>0</v>
          </cell>
        </row>
        <row r="140">
          <cell r="B140">
            <v>0</v>
          </cell>
          <cell r="C140">
            <v>0</v>
          </cell>
          <cell r="G140">
            <v>0</v>
          </cell>
          <cell r="H140">
            <v>0</v>
          </cell>
          <cell r="I140">
            <v>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2"/>
  <sheetViews>
    <sheetView tabSelected="1" zoomScale="84" zoomScaleNormal="84" workbookViewId="0">
      <pane ySplit="2" topLeftCell="A104" activePane="bottomLeft" state="frozen"/>
      <selection pane="bottomLeft" activeCell="A113" sqref="A113"/>
    </sheetView>
  </sheetViews>
  <sheetFormatPr defaultRowHeight="15.75"/>
  <cols>
    <col min="1" max="1" width="10.7109375" style="76" customWidth="1"/>
    <col min="2" max="2" width="81.42578125" style="35" customWidth="1"/>
    <col min="3" max="3" width="19" style="15" customWidth="1"/>
    <col min="4" max="4" width="46.7109375" style="16" customWidth="1"/>
    <col min="5" max="5" width="20.5703125" style="16" customWidth="1"/>
    <col min="6" max="6" width="15.28515625" style="16" customWidth="1"/>
    <col min="7" max="7" width="27.85546875" style="17" customWidth="1"/>
    <col min="8" max="8" width="20.140625" style="18" customWidth="1"/>
    <col min="9" max="9" width="15.28515625" style="16" customWidth="1"/>
    <col min="10" max="10" width="18.5703125" style="16" customWidth="1"/>
    <col min="11" max="11" width="14.85546875" style="19" customWidth="1"/>
    <col min="12" max="12" width="23.140625" style="19" customWidth="1"/>
    <col min="13" max="13" width="14.5703125" style="20" customWidth="1"/>
    <col min="14" max="14" width="28" style="20" customWidth="1"/>
    <col min="15" max="16384" width="9.140625" style="21"/>
  </cols>
  <sheetData>
    <row r="1" spans="1:14" ht="20.25">
      <c r="B1" s="502" t="s">
        <v>2029</v>
      </c>
      <c r="C1" s="503"/>
    </row>
    <row r="2" spans="1:14" s="496" customFormat="1" ht="41.25" customHeight="1">
      <c r="A2" s="488"/>
      <c r="B2" s="489" t="s">
        <v>0</v>
      </c>
      <c r="C2" s="497" t="s">
        <v>2</v>
      </c>
      <c r="D2" s="489" t="s">
        <v>3</v>
      </c>
      <c r="E2" s="490" t="s">
        <v>4</v>
      </c>
      <c r="F2" s="491" t="s">
        <v>5</v>
      </c>
      <c r="G2" s="492" t="s">
        <v>6</v>
      </c>
      <c r="H2" s="493" t="s">
        <v>7</v>
      </c>
      <c r="I2" s="490" t="s">
        <v>8</v>
      </c>
      <c r="J2" s="490" t="s">
        <v>9</v>
      </c>
      <c r="K2" s="494" t="s">
        <v>10</v>
      </c>
      <c r="L2" s="494" t="s">
        <v>11</v>
      </c>
      <c r="M2" s="495" t="s">
        <v>12</v>
      </c>
      <c r="N2" s="495" t="s">
        <v>13</v>
      </c>
    </row>
    <row r="3" spans="1:14" s="2" customFormat="1" ht="24.95" customHeight="1">
      <c r="A3" s="24"/>
      <c r="B3" s="25" t="s">
        <v>14</v>
      </c>
      <c r="C3" s="25"/>
      <c r="D3" s="25"/>
      <c r="E3" s="26"/>
      <c r="F3" s="26"/>
      <c r="G3" s="43"/>
      <c r="H3" s="51"/>
      <c r="I3" s="52"/>
      <c r="J3" s="26"/>
      <c r="K3" s="53"/>
      <c r="L3" s="53"/>
      <c r="M3" s="54"/>
      <c r="N3" s="55"/>
    </row>
    <row r="4" spans="1:14" ht="24.95" customHeight="1">
      <c r="A4" s="24"/>
      <c r="B4" s="25" t="s">
        <v>15</v>
      </c>
      <c r="C4" s="25"/>
      <c r="D4" s="25"/>
      <c r="E4" s="26"/>
      <c r="F4" s="26"/>
      <c r="G4" s="43"/>
      <c r="H4" s="51"/>
      <c r="I4" s="52"/>
      <c r="J4" s="26"/>
      <c r="K4" s="53"/>
      <c r="L4" s="53"/>
      <c r="M4" s="54"/>
      <c r="N4" s="55"/>
    </row>
    <row r="5" spans="1:14" ht="24.95" customHeight="1">
      <c r="A5" s="76">
        <v>1</v>
      </c>
      <c r="B5" s="24" t="s">
        <v>16</v>
      </c>
      <c r="C5" s="27" t="s">
        <v>17</v>
      </c>
      <c r="D5" s="24" t="s">
        <v>18</v>
      </c>
      <c r="E5" s="26" t="s">
        <v>19</v>
      </c>
      <c r="F5" s="26" t="s">
        <v>20</v>
      </c>
      <c r="G5" s="43">
        <v>23742</v>
      </c>
      <c r="H5" s="51" t="s">
        <v>21</v>
      </c>
      <c r="I5" s="52" t="s">
        <v>22</v>
      </c>
      <c r="J5" s="26" t="s">
        <v>23</v>
      </c>
      <c r="K5" s="53">
        <v>34335</v>
      </c>
      <c r="L5" s="53">
        <v>45047</v>
      </c>
      <c r="M5" s="57">
        <v>45047</v>
      </c>
      <c r="N5" s="55">
        <v>46873</v>
      </c>
    </row>
    <row r="6" spans="1:14" ht="24.95" customHeight="1">
      <c r="A6" s="76">
        <v>2</v>
      </c>
      <c r="B6" s="28" t="s">
        <v>25</v>
      </c>
      <c r="C6" s="27" t="s">
        <v>26</v>
      </c>
      <c r="D6" s="24" t="s">
        <v>27</v>
      </c>
      <c r="E6" s="27" t="s">
        <v>28</v>
      </c>
      <c r="F6" s="27" t="s">
        <v>29</v>
      </c>
      <c r="G6" s="45">
        <v>26928</v>
      </c>
      <c r="H6" s="58" t="s">
        <v>21</v>
      </c>
      <c r="I6" s="59" t="s">
        <v>22</v>
      </c>
      <c r="J6" s="27" t="s">
        <v>30</v>
      </c>
      <c r="K6" s="60">
        <v>37316</v>
      </c>
      <c r="L6" s="60">
        <v>45624</v>
      </c>
      <c r="M6" s="61">
        <v>45474</v>
      </c>
      <c r="N6" s="61">
        <v>47299</v>
      </c>
    </row>
    <row r="7" spans="1:14" ht="24.95" customHeight="1">
      <c r="A7" s="76">
        <v>3</v>
      </c>
      <c r="B7" s="24" t="s">
        <v>1747</v>
      </c>
      <c r="C7" s="27" t="s">
        <v>85</v>
      </c>
      <c r="D7" s="35" t="s">
        <v>1752</v>
      </c>
      <c r="E7" s="35" t="s">
        <v>1748</v>
      </c>
      <c r="F7" s="27" t="s">
        <v>29</v>
      </c>
      <c r="G7" s="106">
        <v>33124</v>
      </c>
      <c r="H7" s="51" t="s">
        <v>21</v>
      </c>
      <c r="I7" s="52" t="s">
        <v>22</v>
      </c>
      <c r="J7" s="26" t="s">
        <v>30</v>
      </c>
      <c r="K7" s="100">
        <v>45754</v>
      </c>
      <c r="L7" s="100">
        <v>45754</v>
      </c>
      <c r="M7" s="62">
        <v>45779</v>
      </c>
      <c r="N7" s="62">
        <v>47603</v>
      </c>
    </row>
    <row r="8" spans="1:14" ht="24.95" customHeight="1">
      <c r="A8" s="76">
        <v>4</v>
      </c>
      <c r="B8" s="24" t="s">
        <v>44</v>
      </c>
      <c r="C8" s="27"/>
      <c r="D8" s="35" t="s">
        <v>2033</v>
      </c>
      <c r="E8" s="35" t="s">
        <v>2034</v>
      </c>
      <c r="F8" s="27" t="s">
        <v>20</v>
      </c>
      <c r="G8" s="106">
        <v>33434</v>
      </c>
      <c r="H8" s="51" t="s">
        <v>21</v>
      </c>
      <c r="I8" s="52" t="s">
        <v>22</v>
      </c>
      <c r="J8" s="26" t="s">
        <v>30</v>
      </c>
      <c r="K8" s="100">
        <v>46237</v>
      </c>
      <c r="L8" s="100">
        <v>46237</v>
      </c>
      <c r="M8" s="62">
        <v>46240</v>
      </c>
      <c r="N8" s="62">
        <v>48065</v>
      </c>
    </row>
    <row r="9" spans="1:14" ht="24.95" customHeight="1">
      <c r="A9" s="76">
        <v>5</v>
      </c>
      <c r="B9" s="24" t="s">
        <v>46</v>
      </c>
      <c r="C9" s="27" t="s">
        <v>47</v>
      </c>
      <c r="D9" s="24" t="s">
        <v>48</v>
      </c>
      <c r="E9" s="26" t="s">
        <v>49</v>
      </c>
      <c r="F9" s="26" t="s">
        <v>20</v>
      </c>
      <c r="G9" s="43">
        <v>24241</v>
      </c>
      <c r="H9" s="51" t="s">
        <v>21</v>
      </c>
      <c r="I9" s="52" t="s">
        <v>22</v>
      </c>
      <c r="J9" s="26" t="s">
        <v>50</v>
      </c>
      <c r="K9" s="53">
        <v>34278</v>
      </c>
      <c r="L9" s="53">
        <v>34278</v>
      </c>
      <c r="M9" s="55">
        <v>46174</v>
      </c>
      <c r="N9" s="55">
        <v>46521</v>
      </c>
    </row>
    <row r="10" spans="1:14" ht="24.95" customHeight="1">
      <c r="A10" s="76">
        <v>6</v>
      </c>
      <c r="B10" s="31" t="s">
        <v>2031</v>
      </c>
      <c r="C10" s="33"/>
      <c r="D10" s="34" t="s">
        <v>52</v>
      </c>
      <c r="E10" s="26"/>
      <c r="F10" s="26"/>
      <c r="G10" s="43"/>
      <c r="H10" s="51"/>
      <c r="I10" s="52"/>
      <c r="J10" s="26"/>
      <c r="K10" s="53"/>
      <c r="L10" s="53"/>
      <c r="M10" s="54"/>
      <c r="N10" s="55"/>
    </row>
    <row r="11" spans="1:14" ht="24.95" customHeight="1">
      <c r="B11" s="31" t="s">
        <v>53</v>
      </c>
      <c r="C11" s="76"/>
      <c r="D11" s="35"/>
      <c r="E11" s="282"/>
      <c r="F11" s="35"/>
      <c r="G11" s="62"/>
      <c r="H11" s="283"/>
      <c r="I11" s="66"/>
      <c r="J11" s="284"/>
      <c r="K11" s="67"/>
      <c r="L11" s="67"/>
      <c r="M11" s="35"/>
      <c r="N11" s="35"/>
    </row>
    <row r="12" spans="1:14" ht="24.95" customHeight="1">
      <c r="A12" s="24" t="e">
        <f ca="1">SEQUENCE(1,962)</f>
        <v>#NAME?</v>
      </c>
      <c r="B12" s="24" t="s">
        <v>54</v>
      </c>
      <c r="C12" s="27" t="s">
        <v>55</v>
      </c>
      <c r="D12" s="29" t="s">
        <v>56</v>
      </c>
      <c r="E12" s="95" t="s">
        <v>57</v>
      </c>
      <c r="F12" s="26" t="s">
        <v>20</v>
      </c>
      <c r="G12" s="43">
        <v>29503</v>
      </c>
      <c r="H12" s="51" t="s">
        <v>21</v>
      </c>
      <c r="I12" s="52" t="s">
        <v>22</v>
      </c>
      <c r="J12" s="68" t="s">
        <v>58</v>
      </c>
      <c r="K12" s="53">
        <v>45139</v>
      </c>
      <c r="L12" s="53">
        <v>45139</v>
      </c>
      <c r="M12" s="55">
        <v>45139</v>
      </c>
      <c r="N12" s="55">
        <v>46964</v>
      </c>
    </row>
    <row r="13" spans="1:14" ht="24.95" customHeight="1">
      <c r="A13" s="24">
        <v>8</v>
      </c>
      <c r="B13" s="24" t="s">
        <v>1758</v>
      </c>
      <c r="C13" s="27" t="s">
        <v>59</v>
      </c>
      <c r="D13" s="35" t="s">
        <v>60</v>
      </c>
      <c r="E13" s="37" t="s">
        <v>61</v>
      </c>
      <c r="F13" s="36" t="s">
        <v>29</v>
      </c>
      <c r="G13" s="283">
        <v>29061</v>
      </c>
      <c r="H13" s="69" t="s">
        <v>21</v>
      </c>
      <c r="I13" s="70" t="s">
        <v>22</v>
      </c>
      <c r="J13" s="36" t="s">
        <v>62</v>
      </c>
      <c r="K13" s="64">
        <v>45517</v>
      </c>
      <c r="L13" s="64">
        <v>45517</v>
      </c>
      <c r="M13" s="62">
        <v>45568</v>
      </c>
      <c r="N13" s="55">
        <v>47391</v>
      </c>
    </row>
    <row r="14" spans="1:14" ht="24.95" customHeight="1">
      <c r="A14" s="24">
        <v>9</v>
      </c>
      <c r="B14" s="24" t="s">
        <v>33</v>
      </c>
      <c r="C14" s="27" t="s">
        <v>26</v>
      </c>
      <c r="D14" s="24" t="s">
        <v>31</v>
      </c>
      <c r="E14" s="26" t="s">
        <v>32</v>
      </c>
      <c r="F14" s="26" t="s">
        <v>29</v>
      </c>
      <c r="G14" s="43">
        <v>28801</v>
      </c>
      <c r="H14" s="51" t="s">
        <v>21</v>
      </c>
      <c r="I14" s="52" t="s">
        <v>22</v>
      </c>
      <c r="J14" s="26" t="s">
        <v>30</v>
      </c>
      <c r="K14" s="53">
        <v>41579</v>
      </c>
      <c r="L14" s="53">
        <v>45275</v>
      </c>
      <c r="M14" s="55">
        <v>45108</v>
      </c>
      <c r="N14" s="55">
        <v>46934</v>
      </c>
    </row>
    <row r="15" spans="1:14" ht="24.95" customHeight="1">
      <c r="A15" s="24">
        <v>10</v>
      </c>
      <c r="B15" s="28" t="s">
        <v>34</v>
      </c>
      <c r="C15" s="27" t="s">
        <v>35</v>
      </c>
      <c r="D15" s="29" t="s">
        <v>36</v>
      </c>
      <c r="E15" s="26" t="s">
        <v>37</v>
      </c>
      <c r="F15" s="26" t="s">
        <v>20</v>
      </c>
      <c r="G15" s="43">
        <v>29043</v>
      </c>
      <c r="H15" s="51" t="s">
        <v>21</v>
      </c>
      <c r="I15" s="52" t="s">
        <v>22</v>
      </c>
      <c r="J15" s="26" t="s">
        <v>30</v>
      </c>
      <c r="K15" s="53">
        <v>45253</v>
      </c>
      <c r="L15" s="53">
        <v>45253</v>
      </c>
      <c r="M15" s="62">
        <v>45242</v>
      </c>
      <c r="N15" s="54">
        <v>47087</v>
      </c>
    </row>
    <row r="16" spans="1:14" ht="24.95" customHeight="1">
      <c r="A16" s="24">
        <v>11</v>
      </c>
      <c r="B16" s="24" t="s">
        <v>170</v>
      </c>
      <c r="C16" s="27" t="s">
        <v>123</v>
      </c>
      <c r="D16" s="29" t="s">
        <v>171</v>
      </c>
      <c r="E16" s="26" t="s">
        <v>172</v>
      </c>
      <c r="F16" s="26" t="s">
        <v>20</v>
      </c>
      <c r="G16" s="43">
        <v>31642</v>
      </c>
      <c r="H16" s="51" t="s">
        <v>21</v>
      </c>
      <c r="I16" s="52" t="s">
        <v>22</v>
      </c>
      <c r="J16" s="26" t="s">
        <v>30</v>
      </c>
      <c r="K16" s="53">
        <v>45253</v>
      </c>
      <c r="L16" s="53">
        <v>45253</v>
      </c>
      <c r="M16" s="62">
        <v>45242</v>
      </c>
      <c r="N16" s="54">
        <v>47087</v>
      </c>
    </row>
    <row r="17" spans="1:14" ht="24.95" customHeight="1">
      <c r="A17" s="24">
        <v>12</v>
      </c>
      <c r="B17" s="24" t="s">
        <v>63</v>
      </c>
      <c r="C17" s="27" t="s">
        <v>59</v>
      </c>
      <c r="D17" s="28" t="s">
        <v>64</v>
      </c>
      <c r="E17" s="262" t="s">
        <v>65</v>
      </c>
      <c r="F17" s="26" t="s">
        <v>20</v>
      </c>
      <c r="G17" s="43">
        <v>27269</v>
      </c>
      <c r="H17" s="51" t="s">
        <v>21</v>
      </c>
      <c r="I17" s="52" t="s">
        <v>22</v>
      </c>
      <c r="J17" s="26" t="s">
        <v>62</v>
      </c>
      <c r="K17" s="53">
        <v>43647</v>
      </c>
      <c r="L17" s="53">
        <v>43647</v>
      </c>
      <c r="M17" s="55">
        <v>45474</v>
      </c>
      <c r="N17" s="55">
        <v>47299</v>
      </c>
    </row>
    <row r="18" spans="1:14" ht="24.95" customHeight="1">
      <c r="A18" s="24">
        <v>13</v>
      </c>
      <c r="B18" s="24" t="s">
        <v>66</v>
      </c>
      <c r="C18" s="27" t="s">
        <v>67</v>
      </c>
      <c r="D18" s="24" t="s">
        <v>68</v>
      </c>
      <c r="E18" s="50" t="s">
        <v>69</v>
      </c>
      <c r="F18" s="26" t="s">
        <v>20</v>
      </c>
      <c r="G18" s="43">
        <v>28433</v>
      </c>
      <c r="H18" s="51" t="s">
        <v>21</v>
      </c>
      <c r="I18" s="52" t="s">
        <v>22</v>
      </c>
      <c r="J18" s="26" t="s">
        <v>70</v>
      </c>
      <c r="K18" s="53">
        <v>38709</v>
      </c>
      <c r="L18" s="53">
        <v>44044</v>
      </c>
      <c r="M18" s="55">
        <v>45108</v>
      </c>
      <c r="N18" s="55">
        <v>46934</v>
      </c>
    </row>
    <row r="19" spans="1:14" ht="24.95" customHeight="1">
      <c r="A19" s="24">
        <v>14</v>
      </c>
      <c r="B19" s="24" t="s">
        <v>71</v>
      </c>
      <c r="C19" s="27" t="s">
        <v>26</v>
      </c>
      <c r="D19" s="24" t="s">
        <v>72</v>
      </c>
      <c r="E19" s="49" t="s">
        <v>73</v>
      </c>
      <c r="F19" s="26" t="s">
        <v>29</v>
      </c>
      <c r="G19" s="43">
        <v>27558</v>
      </c>
      <c r="H19" s="51" t="s">
        <v>21</v>
      </c>
      <c r="I19" s="52" t="s">
        <v>22</v>
      </c>
      <c r="J19" s="26" t="s">
        <v>62</v>
      </c>
      <c r="K19" s="53">
        <v>43252</v>
      </c>
      <c r="L19" s="53">
        <v>43252</v>
      </c>
      <c r="M19" s="55">
        <v>45108</v>
      </c>
      <c r="N19" s="55">
        <v>46934</v>
      </c>
    </row>
    <row r="20" spans="1:14" ht="24.95" customHeight="1">
      <c r="A20" s="24">
        <v>15</v>
      </c>
      <c r="B20" s="24" t="s">
        <v>74</v>
      </c>
      <c r="C20" s="27" t="s">
        <v>35</v>
      </c>
      <c r="D20" s="24" t="s">
        <v>75</v>
      </c>
      <c r="E20" s="26" t="s">
        <v>76</v>
      </c>
      <c r="F20" s="26" t="s">
        <v>20</v>
      </c>
      <c r="G20" s="43">
        <v>31699</v>
      </c>
      <c r="H20" s="51" t="s">
        <v>21</v>
      </c>
      <c r="I20" s="52" t="s">
        <v>22</v>
      </c>
      <c r="J20" s="26" t="s">
        <v>30</v>
      </c>
      <c r="K20" s="53">
        <v>41031</v>
      </c>
      <c r="L20" s="53">
        <v>45278</v>
      </c>
      <c r="M20" s="55">
        <v>45839</v>
      </c>
      <c r="N20" s="55">
        <v>47664</v>
      </c>
    </row>
    <row r="21" spans="1:14" ht="24.95" customHeight="1">
      <c r="A21" s="24">
        <v>16</v>
      </c>
      <c r="B21" s="24" t="s">
        <v>1759</v>
      </c>
      <c r="C21" s="27" t="s">
        <v>35</v>
      </c>
      <c r="D21" s="459" t="s">
        <v>2026</v>
      </c>
      <c r="E21" s="26" t="s">
        <v>2027</v>
      </c>
      <c r="F21" s="26" t="s">
        <v>29</v>
      </c>
      <c r="G21" s="43">
        <v>32017</v>
      </c>
      <c r="H21" s="51" t="s">
        <v>21</v>
      </c>
      <c r="I21" s="52" t="s">
        <v>22</v>
      </c>
      <c r="J21" s="26"/>
      <c r="K21" s="53">
        <v>46204</v>
      </c>
      <c r="L21" s="100">
        <v>46204</v>
      </c>
      <c r="M21" s="55">
        <v>46174</v>
      </c>
      <c r="N21" s="55">
        <v>48029</v>
      </c>
    </row>
    <row r="22" spans="1:14" ht="24.95" customHeight="1">
      <c r="A22" s="24">
        <v>17</v>
      </c>
      <c r="B22" s="24" t="s">
        <v>1761</v>
      </c>
      <c r="C22" s="27" t="s">
        <v>39</v>
      </c>
      <c r="D22" s="29" t="s">
        <v>2030</v>
      </c>
      <c r="E22" s="26" t="s">
        <v>2032</v>
      </c>
      <c r="F22" s="26" t="s">
        <v>20</v>
      </c>
      <c r="G22" s="43">
        <v>34406</v>
      </c>
      <c r="H22" s="51" t="s">
        <v>21</v>
      </c>
      <c r="I22" s="52" t="s">
        <v>22</v>
      </c>
      <c r="J22" s="26" t="s">
        <v>30</v>
      </c>
      <c r="K22" s="53">
        <v>46217</v>
      </c>
      <c r="L22" s="53">
        <v>46217</v>
      </c>
      <c r="M22" s="55">
        <v>46237</v>
      </c>
      <c r="N22" s="55">
        <v>47909</v>
      </c>
    </row>
    <row r="23" spans="1:14" ht="24.95" customHeight="1">
      <c r="A23" s="24">
        <v>18</v>
      </c>
      <c r="B23" s="24" t="s">
        <v>1760</v>
      </c>
      <c r="C23" s="27" t="s">
        <v>166</v>
      </c>
      <c r="D23" s="24" t="s">
        <v>167</v>
      </c>
      <c r="E23" s="26" t="s">
        <v>168</v>
      </c>
      <c r="F23" s="26" t="s">
        <v>29</v>
      </c>
      <c r="G23" s="43">
        <v>30045</v>
      </c>
      <c r="H23" s="51" t="s">
        <v>21</v>
      </c>
      <c r="I23" s="52" t="s">
        <v>22</v>
      </c>
      <c r="J23" s="26" t="s">
        <v>30</v>
      </c>
      <c r="K23" s="53">
        <v>39490</v>
      </c>
      <c r="L23" s="53">
        <v>42795</v>
      </c>
      <c r="M23" s="55">
        <v>45108</v>
      </c>
      <c r="N23" s="55">
        <v>48062</v>
      </c>
    </row>
    <row r="24" spans="1:14" ht="24.95" customHeight="1">
      <c r="A24" s="24">
        <v>19</v>
      </c>
      <c r="B24" s="24" t="s">
        <v>173</v>
      </c>
      <c r="C24" s="27" t="s">
        <v>67</v>
      </c>
      <c r="D24" s="24" t="s">
        <v>176</v>
      </c>
      <c r="E24" s="26" t="s">
        <v>177</v>
      </c>
      <c r="F24" s="26" t="s">
        <v>20</v>
      </c>
      <c r="G24" s="43">
        <v>33164</v>
      </c>
      <c r="H24" s="51" t="s">
        <v>21</v>
      </c>
      <c r="I24" s="52" t="s">
        <v>22</v>
      </c>
      <c r="J24" s="26" t="s">
        <v>30</v>
      </c>
      <c r="K24" s="53">
        <v>42737</v>
      </c>
      <c r="L24" s="53">
        <v>42737</v>
      </c>
      <c r="M24" s="55">
        <v>45108</v>
      </c>
      <c r="N24" s="55">
        <v>46934</v>
      </c>
    </row>
    <row r="25" spans="1:14" ht="24.95" customHeight="1">
      <c r="A25" s="24">
        <v>20</v>
      </c>
      <c r="B25" s="24" t="s">
        <v>173</v>
      </c>
      <c r="C25" s="27"/>
      <c r="D25" s="24" t="s">
        <v>1373</v>
      </c>
      <c r="E25" s="26" t="s">
        <v>1374</v>
      </c>
      <c r="F25" s="46" t="s">
        <v>20</v>
      </c>
      <c r="G25" s="48">
        <v>30975</v>
      </c>
      <c r="H25" s="51" t="s">
        <v>21</v>
      </c>
      <c r="I25" s="63" t="s">
        <v>22</v>
      </c>
      <c r="J25" s="26" t="s">
        <v>30</v>
      </c>
      <c r="K25" s="64">
        <v>40605</v>
      </c>
      <c r="L25" s="64">
        <v>44774</v>
      </c>
      <c r="M25" s="62">
        <v>45474</v>
      </c>
      <c r="N25" s="62">
        <v>47299</v>
      </c>
    </row>
    <row r="26" spans="1:14" ht="24.95" customHeight="1">
      <c r="A26" s="24">
        <v>21</v>
      </c>
      <c r="B26" s="24" t="s">
        <v>77</v>
      </c>
      <c r="C26" s="27" t="s">
        <v>35</v>
      </c>
      <c r="D26" s="24" t="s">
        <v>78</v>
      </c>
      <c r="E26" s="26" t="s">
        <v>79</v>
      </c>
      <c r="F26" s="26" t="s">
        <v>29</v>
      </c>
      <c r="G26" s="43">
        <v>29869</v>
      </c>
      <c r="H26" s="51" t="s">
        <v>21</v>
      </c>
      <c r="I26" s="52" t="s">
        <v>22</v>
      </c>
      <c r="J26" s="26" t="s">
        <v>30</v>
      </c>
      <c r="K26" s="53">
        <v>39142</v>
      </c>
      <c r="L26" s="53">
        <v>45490</v>
      </c>
      <c r="M26" s="55">
        <v>45474</v>
      </c>
      <c r="N26" s="55">
        <v>47299</v>
      </c>
    </row>
    <row r="27" spans="1:14" ht="24.95" customHeight="1">
      <c r="A27" s="24">
        <v>22</v>
      </c>
      <c r="B27" s="28" t="s">
        <v>80</v>
      </c>
      <c r="C27" s="27" t="s">
        <v>39</v>
      </c>
      <c r="D27" s="24" t="s">
        <v>81</v>
      </c>
      <c r="E27" s="26" t="s">
        <v>82</v>
      </c>
      <c r="F27" s="26" t="s">
        <v>29</v>
      </c>
      <c r="G27" s="43">
        <v>30832</v>
      </c>
      <c r="H27" s="51" t="s">
        <v>21</v>
      </c>
      <c r="I27" s="52" t="s">
        <v>22</v>
      </c>
      <c r="J27" s="26" t="s">
        <v>30</v>
      </c>
      <c r="K27" s="53">
        <v>43739</v>
      </c>
      <c r="L27" s="53">
        <v>45392</v>
      </c>
      <c r="M27" s="55">
        <v>45839</v>
      </c>
      <c r="N27" s="55">
        <v>47664</v>
      </c>
    </row>
    <row r="28" spans="1:14" ht="24.95" customHeight="1">
      <c r="A28" s="24">
        <v>23</v>
      </c>
      <c r="B28" s="24" t="s">
        <v>83</v>
      </c>
      <c r="C28" s="27" t="s">
        <v>39</v>
      </c>
      <c r="D28" s="24" t="s">
        <v>1721</v>
      </c>
      <c r="E28" s="35" t="s">
        <v>1722</v>
      </c>
      <c r="F28" s="35" t="s">
        <v>20</v>
      </c>
      <c r="G28" s="235">
        <v>33227</v>
      </c>
      <c r="H28" s="51" t="s">
        <v>21</v>
      </c>
      <c r="I28" s="63" t="s">
        <v>22</v>
      </c>
      <c r="J28" s="26" t="s">
        <v>30</v>
      </c>
      <c r="K28" s="100">
        <v>45747</v>
      </c>
      <c r="L28" s="100">
        <v>45747</v>
      </c>
      <c r="M28" s="62">
        <v>45748</v>
      </c>
      <c r="N28" s="62">
        <v>47573</v>
      </c>
    </row>
    <row r="29" spans="1:14" ht="24.95" customHeight="1">
      <c r="A29" s="24">
        <v>24</v>
      </c>
      <c r="B29" s="24" t="s">
        <v>84</v>
      </c>
      <c r="C29" s="27" t="s">
        <v>85</v>
      </c>
      <c r="D29" s="29" t="s">
        <v>86</v>
      </c>
      <c r="E29" s="35" t="s">
        <v>87</v>
      </c>
      <c r="F29" s="35" t="s">
        <v>29</v>
      </c>
      <c r="G29" s="235">
        <v>31826</v>
      </c>
      <c r="H29" s="215" t="s">
        <v>21</v>
      </c>
      <c r="I29" s="35" t="s">
        <v>22</v>
      </c>
      <c r="J29" s="35" t="s">
        <v>30</v>
      </c>
      <c r="K29" s="53">
        <v>45415</v>
      </c>
      <c r="L29" s="53">
        <v>45415</v>
      </c>
      <c r="M29" s="53">
        <v>45415</v>
      </c>
      <c r="N29" s="53">
        <v>47240</v>
      </c>
    </row>
    <row r="30" spans="1:14" ht="24.95" customHeight="1">
      <c r="A30" s="24">
        <v>25</v>
      </c>
      <c r="B30" s="24" t="s">
        <v>44</v>
      </c>
      <c r="C30" s="27" t="s">
        <v>45</v>
      </c>
      <c r="D30" s="24" t="s">
        <v>88</v>
      </c>
      <c r="E30" s="26" t="s">
        <v>89</v>
      </c>
      <c r="F30" s="26" t="s">
        <v>20</v>
      </c>
      <c r="G30" s="43">
        <v>27225</v>
      </c>
      <c r="H30" s="51" t="s">
        <v>21</v>
      </c>
      <c r="I30" s="52" t="s">
        <v>22</v>
      </c>
      <c r="J30" s="26" t="s">
        <v>50</v>
      </c>
      <c r="K30" s="53">
        <v>37215</v>
      </c>
      <c r="L30" s="53">
        <v>37215</v>
      </c>
      <c r="M30" s="55">
        <v>45108</v>
      </c>
      <c r="N30" s="55">
        <v>46934</v>
      </c>
    </row>
    <row r="31" spans="1:14" ht="24.95" customHeight="1">
      <c r="A31" s="24">
        <v>26</v>
      </c>
      <c r="B31" s="24" t="s">
        <v>44</v>
      </c>
      <c r="C31" s="27" t="s">
        <v>45</v>
      </c>
      <c r="D31" s="24" t="s">
        <v>92</v>
      </c>
      <c r="E31" s="26" t="s">
        <v>93</v>
      </c>
      <c r="F31" s="26" t="s">
        <v>20</v>
      </c>
      <c r="G31" s="43">
        <v>29215</v>
      </c>
      <c r="H31" s="51" t="s">
        <v>21</v>
      </c>
      <c r="I31" s="52" t="s">
        <v>22</v>
      </c>
      <c r="J31" s="26" t="s">
        <v>50</v>
      </c>
      <c r="K31" s="53">
        <v>42370</v>
      </c>
      <c r="L31" s="53">
        <v>42370</v>
      </c>
      <c r="M31" s="55">
        <v>45474</v>
      </c>
      <c r="N31" s="55">
        <v>47299</v>
      </c>
    </row>
    <row r="32" spans="1:14" ht="24.95" customHeight="1">
      <c r="A32" s="24">
        <v>27</v>
      </c>
      <c r="B32" s="24" t="s">
        <v>44</v>
      </c>
      <c r="C32" s="27" t="s">
        <v>45</v>
      </c>
      <c r="D32" s="24" t="s">
        <v>94</v>
      </c>
      <c r="E32" s="26" t="s">
        <v>95</v>
      </c>
      <c r="F32" s="26" t="s">
        <v>20</v>
      </c>
      <c r="G32" s="43">
        <v>30682</v>
      </c>
      <c r="H32" s="51" t="s">
        <v>21</v>
      </c>
      <c r="I32" s="52" t="s">
        <v>22</v>
      </c>
      <c r="J32" s="26" t="s">
        <v>50</v>
      </c>
      <c r="K32" s="53">
        <v>36889</v>
      </c>
      <c r="L32" s="53">
        <v>36889</v>
      </c>
      <c r="M32" s="55">
        <v>45108</v>
      </c>
      <c r="N32" s="55">
        <v>46934</v>
      </c>
    </row>
    <row r="33" spans="1:14" ht="24.95" customHeight="1">
      <c r="A33" s="24">
        <v>28</v>
      </c>
      <c r="B33" s="24" t="s">
        <v>44</v>
      </c>
      <c r="C33" s="27" t="s">
        <v>45</v>
      </c>
      <c r="D33" s="38" t="s">
        <v>96</v>
      </c>
      <c r="E33" s="26" t="s">
        <v>97</v>
      </c>
      <c r="F33" s="26" t="s">
        <v>20</v>
      </c>
      <c r="G33" s="43">
        <v>33660</v>
      </c>
      <c r="H33" s="51" t="s">
        <v>21</v>
      </c>
      <c r="I33" s="52" t="s">
        <v>22</v>
      </c>
      <c r="J33" s="26" t="s">
        <v>50</v>
      </c>
      <c r="K33" s="53">
        <v>45415</v>
      </c>
      <c r="L33" s="53">
        <v>45415</v>
      </c>
      <c r="M33" s="53">
        <v>45415</v>
      </c>
      <c r="N33" s="53">
        <v>47240</v>
      </c>
    </row>
    <row r="34" spans="1:14" ht="24.95" customHeight="1">
      <c r="A34" s="24">
        <v>29</v>
      </c>
      <c r="B34" s="24" t="s">
        <v>44</v>
      </c>
      <c r="C34" s="27" t="s">
        <v>45</v>
      </c>
      <c r="D34" s="24" t="s">
        <v>98</v>
      </c>
      <c r="E34" s="26" t="s">
        <v>99</v>
      </c>
      <c r="F34" s="26" t="s">
        <v>29</v>
      </c>
      <c r="G34" s="43">
        <v>30521</v>
      </c>
      <c r="H34" s="51" t="s">
        <v>21</v>
      </c>
      <c r="I34" s="52" t="s">
        <v>22</v>
      </c>
      <c r="J34" s="26" t="s">
        <v>50</v>
      </c>
      <c r="K34" s="53">
        <v>45415</v>
      </c>
      <c r="L34" s="53">
        <v>45415</v>
      </c>
      <c r="M34" s="53">
        <v>45415</v>
      </c>
      <c r="N34" s="53">
        <v>47240</v>
      </c>
    </row>
    <row r="35" spans="1:14" ht="24.95" customHeight="1" thickBot="1">
      <c r="A35" s="24">
        <v>30</v>
      </c>
      <c r="B35" s="24" t="s">
        <v>44</v>
      </c>
      <c r="C35" s="27" t="s">
        <v>45</v>
      </c>
      <c r="D35" s="119" t="s">
        <v>1781</v>
      </c>
      <c r="E35" s="27" t="s">
        <v>1840</v>
      </c>
      <c r="F35" s="27" t="s">
        <v>20</v>
      </c>
      <c r="G35" s="45">
        <v>35367</v>
      </c>
      <c r="H35" s="51" t="s">
        <v>21</v>
      </c>
      <c r="I35" s="52" t="s">
        <v>22</v>
      </c>
      <c r="J35" s="26" t="s">
        <v>50</v>
      </c>
      <c r="K35" s="100">
        <v>45870</v>
      </c>
      <c r="L35" s="60">
        <v>45870</v>
      </c>
      <c r="M35" s="60">
        <v>45870</v>
      </c>
      <c r="N35" s="327">
        <v>47726</v>
      </c>
    </row>
    <row r="36" spans="1:14" ht="24.95" customHeight="1">
      <c r="A36" s="24">
        <v>31</v>
      </c>
      <c r="B36" s="24" t="s">
        <v>44</v>
      </c>
      <c r="C36" s="27" t="s">
        <v>45</v>
      </c>
      <c r="D36" s="460" t="s">
        <v>1888</v>
      </c>
      <c r="E36" s="27" t="s">
        <v>1887</v>
      </c>
      <c r="F36" s="27" t="s">
        <v>20</v>
      </c>
      <c r="G36" s="45">
        <v>36496</v>
      </c>
      <c r="H36" s="51" t="s">
        <v>21</v>
      </c>
      <c r="I36" s="52" t="s">
        <v>22</v>
      </c>
      <c r="J36" s="26" t="s">
        <v>50</v>
      </c>
      <c r="K36" s="100">
        <v>46099</v>
      </c>
      <c r="L36" s="100">
        <v>46099</v>
      </c>
      <c r="M36" s="60">
        <v>46121</v>
      </c>
      <c r="N36" s="60">
        <v>47946</v>
      </c>
    </row>
    <row r="37" spans="1:14" ht="24.95" customHeight="1">
      <c r="A37" s="24"/>
      <c r="B37" s="31" t="s">
        <v>103</v>
      </c>
      <c r="C37" s="25"/>
      <c r="D37" s="35"/>
      <c r="E37" s="35"/>
      <c r="F37" s="35"/>
      <c r="G37" s="47"/>
      <c r="H37" s="215"/>
      <c r="I37" s="35"/>
      <c r="J37" s="35"/>
      <c r="K37" s="100"/>
      <c r="L37" s="100"/>
      <c r="M37" s="62"/>
      <c r="N37" s="62"/>
    </row>
    <row r="38" spans="1:14" ht="24.95" customHeight="1">
      <c r="A38" s="24"/>
      <c r="B38" s="31"/>
      <c r="C38" s="25"/>
      <c r="D38" s="35"/>
      <c r="E38" s="35"/>
      <c r="F38" s="35"/>
      <c r="G38" s="47"/>
      <c r="H38" s="215"/>
      <c r="I38" s="35"/>
      <c r="J38" s="35"/>
      <c r="K38" s="100"/>
      <c r="L38" s="100"/>
      <c r="M38" s="62"/>
      <c r="N38" s="62"/>
    </row>
    <row r="39" spans="1:14" ht="24.95" customHeight="1">
      <c r="A39" s="24">
        <v>33</v>
      </c>
      <c r="B39" s="24" t="s">
        <v>104</v>
      </c>
      <c r="C39" s="27" t="s">
        <v>105</v>
      </c>
      <c r="D39" s="24" t="s">
        <v>106</v>
      </c>
      <c r="E39" s="26" t="s">
        <v>107</v>
      </c>
      <c r="F39" s="26" t="s">
        <v>20</v>
      </c>
      <c r="G39" s="43">
        <v>29283</v>
      </c>
      <c r="H39" s="51" t="s">
        <v>21</v>
      </c>
      <c r="I39" s="52" t="s">
        <v>22</v>
      </c>
      <c r="J39" s="26" t="s">
        <v>23</v>
      </c>
      <c r="K39" s="53">
        <v>40078</v>
      </c>
      <c r="L39" s="53">
        <v>42309</v>
      </c>
      <c r="M39" s="55">
        <v>45139</v>
      </c>
      <c r="N39" s="55">
        <v>46965</v>
      </c>
    </row>
    <row r="40" spans="1:14" ht="24.95" customHeight="1">
      <c r="A40" s="24">
        <v>34</v>
      </c>
      <c r="B40" s="24" t="s">
        <v>108</v>
      </c>
      <c r="C40" s="27" t="s">
        <v>109</v>
      </c>
      <c r="D40" s="24" t="s">
        <v>110</v>
      </c>
      <c r="E40" s="26" t="s">
        <v>111</v>
      </c>
      <c r="F40" s="26" t="s">
        <v>20</v>
      </c>
      <c r="G40" s="43">
        <v>22375</v>
      </c>
      <c r="H40" s="51" t="s">
        <v>21</v>
      </c>
      <c r="I40" s="52" t="s">
        <v>22</v>
      </c>
      <c r="J40" s="26" t="s">
        <v>62</v>
      </c>
      <c r="K40" s="53">
        <v>38596</v>
      </c>
      <c r="L40" s="53">
        <v>44743</v>
      </c>
      <c r="M40" s="55">
        <v>45108</v>
      </c>
      <c r="N40" s="55">
        <v>46847</v>
      </c>
    </row>
    <row r="41" spans="1:14" ht="24.95" customHeight="1">
      <c r="A41" s="24">
        <v>35</v>
      </c>
      <c r="B41" s="24" t="s">
        <v>1762</v>
      </c>
      <c r="C41" s="27" t="s">
        <v>109</v>
      </c>
      <c r="D41" s="24" t="s">
        <v>112</v>
      </c>
      <c r="E41" s="49" t="s">
        <v>113</v>
      </c>
      <c r="F41" s="46" t="s">
        <v>29</v>
      </c>
      <c r="G41" s="48">
        <v>27041</v>
      </c>
      <c r="H41" s="51" t="s">
        <v>21</v>
      </c>
      <c r="I41" s="63" t="s">
        <v>22</v>
      </c>
      <c r="J41" s="26" t="s">
        <v>62</v>
      </c>
      <c r="K41" s="64">
        <v>39056</v>
      </c>
      <c r="L41" s="64">
        <v>44743</v>
      </c>
      <c r="M41" s="286">
        <v>45078</v>
      </c>
      <c r="N41" s="55">
        <v>46934</v>
      </c>
    </row>
    <row r="42" spans="1:14" ht="24.95" customHeight="1">
      <c r="A42" s="24">
        <v>36</v>
      </c>
      <c r="B42" s="28" t="s">
        <v>114</v>
      </c>
      <c r="C42" s="27" t="s">
        <v>59</v>
      </c>
      <c r="D42" s="28" t="s">
        <v>115</v>
      </c>
      <c r="E42" s="262" t="s">
        <v>116</v>
      </c>
      <c r="F42" s="26" t="s">
        <v>29</v>
      </c>
      <c r="G42" s="43">
        <v>28250</v>
      </c>
      <c r="H42" s="51" t="s">
        <v>21</v>
      </c>
      <c r="I42" s="52" t="s">
        <v>22</v>
      </c>
      <c r="J42" s="26" t="s">
        <v>62</v>
      </c>
      <c r="K42" s="53">
        <v>38657</v>
      </c>
      <c r="L42" s="53">
        <v>44743</v>
      </c>
      <c r="M42" s="55">
        <v>45108</v>
      </c>
      <c r="N42" s="55">
        <v>46934</v>
      </c>
    </row>
    <row r="43" spans="1:14" ht="24.95" customHeight="1">
      <c r="A43" s="24">
        <v>37</v>
      </c>
      <c r="B43" s="24" t="s">
        <v>117</v>
      </c>
      <c r="C43" s="27" t="s">
        <v>59</v>
      </c>
      <c r="D43" s="24" t="s">
        <v>118</v>
      </c>
      <c r="E43" s="262" t="s">
        <v>119</v>
      </c>
      <c r="F43" s="26" t="s">
        <v>20</v>
      </c>
      <c r="G43" s="43">
        <v>31711</v>
      </c>
      <c r="H43" s="51" t="s">
        <v>21</v>
      </c>
      <c r="I43" s="52" t="s">
        <v>22</v>
      </c>
      <c r="J43" s="26" t="s">
        <v>62</v>
      </c>
      <c r="K43" s="53">
        <v>43647</v>
      </c>
      <c r="L43" s="53">
        <v>43647</v>
      </c>
      <c r="M43" s="55">
        <v>45474</v>
      </c>
      <c r="N43" s="55">
        <v>47299</v>
      </c>
    </row>
    <row r="44" spans="1:14" ht="24.95" customHeight="1">
      <c r="A44" s="24">
        <v>38</v>
      </c>
      <c r="B44" s="24" t="s">
        <v>120</v>
      </c>
      <c r="C44" s="27" t="s">
        <v>59</v>
      </c>
      <c r="D44" s="24" t="s">
        <v>121</v>
      </c>
      <c r="E44" s="26" t="s">
        <v>122</v>
      </c>
      <c r="F44" s="26" t="s">
        <v>20</v>
      </c>
      <c r="G44" s="43">
        <v>25688</v>
      </c>
      <c r="H44" s="51" t="s">
        <v>21</v>
      </c>
      <c r="I44" s="52" t="s">
        <v>22</v>
      </c>
      <c r="J44" s="26" t="s">
        <v>62</v>
      </c>
      <c r="K44" s="53">
        <v>38720</v>
      </c>
      <c r="L44" s="53">
        <v>45490</v>
      </c>
      <c r="M44" s="72">
        <v>45505</v>
      </c>
      <c r="N44" s="72">
        <v>47330</v>
      </c>
    </row>
    <row r="45" spans="1:14" s="4" customFormat="1" ht="24.95" customHeight="1">
      <c r="A45" s="24">
        <v>39</v>
      </c>
      <c r="B45" s="28" t="s">
        <v>128</v>
      </c>
      <c r="C45" s="27" t="s">
        <v>129</v>
      </c>
      <c r="D45" s="24" t="s">
        <v>130</v>
      </c>
      <c r="E45" s="26" t="s">
        <v>131</v>
      </c>
      <c r="F45" s="26" t="s">
        <v>20</v>
      </c>
      <c r="G45" s="235">
        <v>32395</v>
      </c>
      <c r="H45" s="51" t="s">
        <v>21</v>
      </c>
      <c r="I45" s="52" t="s">
        <v>22</v>
      </c>
      <c r="J45" s="26" t="s">
        <v>62</v>
      </c>
      <c r="K45" s="53">
        <v>45243</v>
      </c>
      <c r="L45" s="53">
        <v>45243</v>
      </c>
      <c r="M45" s="54">
        <v>45028</v>
      </c>
      <c r="N45" s="55">
        <v>47087</v>
      </c>
    </row>
    <row r="46" spans="1:14" s="4" customFormat="1" ht="24.95" customHeight="1">
      <c r="A46" s="24">
        <v>40</v>
      </c>
      <c r="B46" s="24" t="s">
        <v>135</v>
      </c>
      <c r="C46" s="27" t="s">
        <v>35</v>
      </c>
      <c r="D46" s="84" t="s">
        <v>136</v>
      </c>
      <c r="E46" s="26" t="s">
        <v>137</v>
      </c>
      <c r="F46" s="46" t="s">
        <v>29</v>
      </c>
      <c r="G46" s="48">
        <v>28390</v>
      </c>
      <c r="H46" s="51" t="s">
        <v>21</v>
      </c>
      <c r="I46" s="63" t="s">
        <v>22</v>
      </c>
      <c r="J46" s="26" t="s">
        <v>30</v>
      </c>
      <c r="K46" s="64">
        <v>40508</v>
      </c>
      <c r="L46" s="64">
        <v>45278</v>
      </c>
      <c r="M46" s="62">
        <v>45108</v>
      </c>
      <c r="N46" s="55">
        <v>46934</v>
      </c>
    </row>
    <row r="47" spans="1:14" ht="24.95" customHeight="1">
      <c r="A47" s="24">
        <v>41</v>
      </c>
      <c r="B47" s="28" t="s">
        <v>1126</v>
      </c>
      <c r="C47" s="27" t="s">
        <v>123</v>
      </c>
      <c r="D47" s="35" t="s">
        <v>126</v>
      </c>
      <c r="E47" s="35" t="s">
        <v>127</v>
      </c>
      <c r="F47" s="35" t="s">
        <v>29</v>
      </c>
      <c r="G47" s="235">
        <v>32548</v>
      </c>
      <c r="H47" s="51" t="s">
        <v>21</v>
      </c>
      <c r="I47" s="52" t="s">
        <v>22</v>
      </c>
      <c r="J47" s="26" t="s">
        <v>62</v>
      </c>
      <c r="K47" s="100">
        <v>45646</v>
      </c>
      <c r="L47" s="100">
        <v>45646</v>
      </c>
      <c r="M47" s="62">
        <v>45659</v>
      </c>
      <c r="N47" s="62">
        <v>47483</v>
      </c>
    </row>
    <row r="48" spans="1:14" ht="24.95" customHeight="1">
      <c r="A48" s="24">
        <v>42</v>
      </c>
      <c r="B48" s="24" t="s">
        <v>132</v>
      </c>
      <c r="C48" s="27" t="s">
        <v>123</v>
      </c>
      <c r="D48" s="287" t="s">
        <v>133</v>
      </c>
      <c r="E48" s="220" t="s">
        <v>134</v>
      </c>
      <c r="F48" s="26" t="s">
        <v>20</v>
      </c>
      <c r="G48" s="235">
        <v>33744</v>
      </c>
      <c r="H48" s="51" t="s">
        <v>21</v>
      </c>
      <c r="I48" s="52" t="s">
        <v>22</v>
      </c>
      <c r="J48" s="26" t="s">
        <v>62</v>
      </c>
      <c r="K48" s="100">
        <v>45664</v>
      </c>
      <c r="L48" s="100">
        <v>45664</v>
      </c>
      <c r="M48" s="100">
        <v>45664</v>
      </c>
      <c r="N48" s="55">
        <v>47483</v>
      </c>
    </row>
    <row r="49" spans="1:14" ht="24.95" customHeight="1">
      <c r="A49" s="24">
        <v>43</v>
      </c>
      <c r="B49" s="24" t="s">
        <v>1763</v>
      </c>
      <c r="C49" s="27" t="s">
        <v>123</v>
      </c>
      <c r="D49" s="24" t="s">
        <v>1600</v>
      </c>
      <c r="E49" s="26" t="s">
        <v>1601</v>
      </c>
      <c r="F49" s="46" t="s">
        <v>20</v>
      </c>
      <c r="G49" s="48">
        <v>29869</v>
      </c>
      <c r="H49" s="51" t="s">
        <v>21</v>
      </c>
      <c r="I49" s="63" t="s">
        <v>22</v>
      </c>
      <c r="J49" s="26" t="s">
        <v>62</v>
      </c>
      <c r="K49" s="64">
        <v>41022</v>
      </c>
      <c r="L49" s="64">
        <v>44743</v>
      </c>
      <c r="M49" s="98">
        <v>46934</v>
      </c>
      <c r="N49" s="98">
        <v>46934</v>
      </c>
    </row>
    <row r="50" spans="1:14" ht="24.95" customHeight="1">
      <c r="A50" s="24">
        <v>44</v>
      </c>
      <c r="B50" s="24" t="s">
        <v>140</v>
      </c>
      <c r="C50" s="27" t="s">
        <v>123</v>
      </c>
      <c r="D50" s="288" t="s">
        <v>141</v>
      </c>
      <c r="E50" s="26" t="s">
        <v>142</v>
      </c>
      <c r="F50" s="46" t="s">
        <v>20</v>
      </c>
      <c r="G50" s="48">
        <v>31296</v>
      </c>
      <c r="H50" s="51" t="s">
        <v>21</v>
      </c>
      <c r="I50" s="63" t="s">
        <v>22</v>
      </c>
      <c r="J50" s="26" t="s">
        <v>62</v>
      </c>
      <c r="K50" s="64">
        <v>42692</v>
      </c>
      <c r="L50" s="64">
        <v>42692</v>
      </c>
      <c r="M50" s="62">
        <v>42705</v>
      </c>
      <c r="N50" s="62">
        <v>44165</v>
      </c>
    </row>
    <row r="51" spans="1:14" ht="24.95" customHeight="1">
      <c r="A51" s="24">
        <v>45</v>
      </c>
      <c r="B51" s="24" t="s">
        <v>1764</v>
      </c>
      <c r="C51" s="27" t="s">
        <v>39</v>
      </c>
      <c r="D51" s="41" t="s">
        <v>138</v>
      </c>
      <c r="E51" s="262" t="s">
        <v>139</v>
      </c>
      <c r="F51" s="26" t="s">
        <v>20</v>
      </c>
      <c r="G51" s="43">
        <v>30310</v>
      </c>
      <c r="H51" s="51" t="s">
        <v>21</v>
      </c>
      <c r="I51" s="52" t="s">
        <v>22</v>
      </c>
      <c r="J51" s="26" t="s">
        <v>30</v>
      </c>
      <c r="K51" s="53">
        <v>43482</v>
      </c>
      <c r="L51" s="53">
        <v>45392</v>
      </c>
      <c r="M51" s="55">
        <v>45839</v>
      </c>
      <c r="N51" s="55">
        <v>47664</v>
      </c>
    </row>
    <row r="52" spans="1:14" ht="24.95" customHeight="1">
      <c r="A52" s="24">
        <v>46</v>
      </c>
      <c r="B52" s="24" t="s">
        <v>44</v>
      </c>
      <c r="C52" s="27" t="s">
        <v>45</v>
      </c>
      <c r="D52" s="24" t="s">
        <v>1772</v>
      </c>
      <c r="E52" s="26" t="s">
        <v>1773</v>
      </c>
      <c r="F52" s="46" t="s">
        <v>20</v>
      </c>
      <c r="G52" s="48">
        <v>31761</v>
      </c>
      <c r="H52" s="51" t="s">
        <v>21</v>
      </c>
      <c r="I52" s="63" t="s">
        <v>22</v>
      </c>
      <c r="J52" s="26" t="s">
        <v>50</v>
      </c>
      <c r="K52" s="64">
        <v>45839</v>
      </c>
      <c r="L52" s="64">
        <v>45839</v>
      </c>
      <c r="M52" s="64">
        <v>45839</v>
      </c>
      <c r="N52" s="65">
        <v>47664</v>
      </c>
    </row>
    <row r="53" spans="1:14" ht="24.95" customHeight="1">
      <c r="A53" s="24"/>
      <c r="B53" s="31" t="s">
        <v>51</v>
      </c>
      <c r="C53" s="33"/>
      <c r="D53" s="35"/>
      <c r="E53" s="26"/>
      <c r="F53" s="26"/>
      <c r="G53" s="43"/>
      <c r="H53" s="51"/>
      <c r="I53" s="52"/>
      <c r="J53" s="26"/>
      <c r="K53" s="53"/>
      <c r="L53" s="53"/>
      <c r="M53" s="54"/>
      <c r="N53" s="55"/>
    </row>
    <row r="54" spans="1:14" ht="24.95" customHeight="1">
      <c r="A54" s="24"/>
      <c r="B54" s="31" t="s">
        <v>143</v>
      </c>
      <c r="C54" s="25"/>
      <c r="D54" s="31" t="s">
        <v>52</v>
      </c>
      <c r="E54" s="26"/>
      <c r="F54" s="26"/>
      <c r="G54" s="43"/>
      <c r="H54" s="51"/>
      <c r="I54" s="52"/>
      <c r="J54" s="26"/>
      <c r="K54" s="53"/>
      <c r="L54" s="53"/>
      <c r="M54" s="54"/>
      <c r="N54" s="55"/>
    </row>
    <row r="55" spans="1:14" ht="24.95" customHeight="1">
      <c r="A55" s="24">
        <v>47</v>
      </c>
      <c r="B55" s="24" t="s">
        <v>104</v>
      </c>
      <c r="C55" s="27" t="s">
        <v>105</v>
      </c>
      <c r="D55" s="24" t="s">
        <v>144</v>
      </c>
      <c r="E55" s="26" t="s">
        <v>145</v>
      </c>
      <c r="F55" s="26" t="s">
        <v>20</v>
      </c>
      <c r="G55" s="43">
        <v>26520</v>
      </c>
      <c r="H55" s="51" t="s">
        <v>21</v>
      </c>
      <c r="I55" s="52" t="s">
        <v>22</v>
      </c>
      <c r="J55" s="26" t="s">
        <v>23</v>
      </c>
      <c r="K55" s="53">
        <v>42217</v>
      </c>
      <c r="L55" s="53">
        <v>44013</v>
      </c>
      <c r="M55" s="55">
        <v>43678</v>
      </c>
      <c r="N55" s="55">
        <v>47695</v>
      </c>
    </row>
    <row r="56" spans="1:14" ht="24.95" customHeight="1">
      <c r="A56" s="24">
        <v>48</v>
      </c>
      <c r="B56" s="24" t="s">
        <v>1768</v>
      </c>
      <c r="C56" s="27" t="s">
        <v>59</v>
      </c>
      <c r="D56" s="84" t="s">
        <v>147</v>
      </c>
      <c r="E56" s="49" t="s">
        <v>148</v>
      </c>
      <c r="F56" s="46" t="s">
        <v>29</v>
      </c>
      <c r="G56" s="48">
        <v>27727</v>
      </c>
      <c r="H56" s="51" t="s">
        <v>21</v>
      </c>
      <c r="I56" s="63" t="s">
        <v>22</v>
      </c>
      <c r="J56" s="26" t="s">
        <v>23</v>
      </c>
      <c r="K56" s="64">
        <v>43199</v>
      </c>
      <c r="L56" s="64">
        <v>45646</v>
      </c>
      <c r="M56" s="62">
        <v>45689</v>
      </c>
      <c r="N56" s="62">
        <v>47483</v>
      </c>
    </row>
    <row r="57" spans="1:14" ht="24.95" customHeight="1">
      <c r="A57" s="24">
        <v>49</v>
      </c>
      <c r="B57" s="24" t="s">
        <v>153</v>
      </c>
      <c r="C57" s="27" t="s">
        <v>129</v>
      </c>
      <c r="D57" s="24" t="s">
        <v>154</v>
      </c>
      <c r="E57" s="26" t="s">
        <v>155</v>
      </c>
      <c r="F57" s="26" t="s">
        <v>29</v>
      </c>
      <c r="G57" s="43">
        <v>28362</v>
      </c>
      <c r="H57" s="51" t="s">
        <v>21</v>
      </c>
      <c r="I57" s="52" t="s">
        <v>22</v>
      </c>
      <c r="J57" s="26" t="s">
        <v>30</v>
      </c>
      <c r="K57" s="53">
        <v>42795</v>
      </c>
      <c r="L57" s="53">
        <v>42795</v>
      </c>
      <c r="M57" s="55">
        <v>45108</v>
      </c>
      <c r="N57" s="55">
        <v>46934</v>
      </c>
    </row>
    <row r="58" spans="1:14" ht="24.95" customHeight="1">
      <c r="A58" s="24">
        <v>50</v>
      </c>
      <c r="B58" s="28" t="s">
        <v>156</v>
      </c>
      <c r="C58" s="27" t="s">
        <v>129</v>
      </c>
      <c r="D58" s="24" t="s">
        <v>157</v>
      </c>
      <c r="E58" s="262" t="s">
        <v>158</v>
      </c>
      <c r="F58" s="26" t="s">
        <v>29</v>
      </c>
      <c r="G58" s="43">
        <v>32072</v>
      </c>
      <c r="H58" s="51" t="s">
        <v>21</v>
      </c>
      <c r="I58" s="52" t="s">
        <v>22</v>
      </c>
      <c r="J58" s="26" t="s">
        <v>30</v>
      </c>
      <c r="K58" s="53">
        <v>43718</v>
      </c>
      <c r="L58" s="53">
        <v>43718</v>
      </c>
      <c r="M58" s="55">
        <v>45839</v>
      </c>
      <c r="N58" s="55">
        <v>47664</v>
      </c>
    </row>
    <row r="59" spans="1:14" ht="24.95" customHeight="1">
      <c r="A59" s="24">
        <v>51</v>
      </c>
      <c r="B59" s="28" t="s">
        <v>159</v>
      </c>
      <c r="C59" s="27" t="s">
        <v>129</v>
      </c>
      <c r="D59" s="24" t="s">
        <v>160</v>
      </c>
      <c r="E59" s="26" t="s">
        <v>161</v>
      </c>
      <c r="F59" s="26" t="s">
        <v>20</v>
      </c>
      <c r="G59" s="43">
        <v>32367</v>
      </c>
      <c r="H59" s="51" t="s">
        <v>21</v>
      </c>
      <c r="I59" s="52" t="s">
        <v>22</v>
      </c>
      <c r="J59" s="26" t="s">
        <v>30</v>
      </c>
      <c r="K59" s="53">
        <v>42744</v>
      </c>
      <c r="L59" s="53">
        <v>43718</v>
      </c>
      <c r="M59" s="55">
        <v>45108</v>
      </c>
      <c r="N59" s="55">
        <v>46934</v>
      </c>
    </row>
    <row r="60" spans="1:14" ht="24.95" customHeight="1">
      <c r="A60" s="24">
        <v>52</v>
      </c>
      <c r="B60" s="24" t="s">
        <v>1765</v>
      </c>
      <c r="C60" s="27" t="s">
        <v>129</v>
      </c>
      <c r="D60" s="24" t="s">
        <v>162</v>
      </c>
      <c r="E60" s="49" t="s">
        <v>163</v>
      </c>
      <c r="F60" s="26" t="s">
        <v>20</v>
      </c>
      <c r="G60" s="43">
        <v>29955</v>
      </c>
      <c r="H60" s="51" t="s">
        <v>21</v>
      </c>
      <c r="I60" s="52" t="s">
        <v>22</v>
      </c>
      <c r="J60" s="26" t="s">
        <v>30</v>
      </c>
      <c r="K60" s="53">
        <v>43199</v>
      </c>
      <c r="L60" s="53">
        <v>43199</v>
      </c>
      <c r="M60" s="55">
        <v>45173</v>
      </c>
      <c r="N60" s="55">
        <v>46934</v>
      </c>
    </row>
    <row r="61" spans="1:14" ht="24.95" customHeight="1">
      <c r="A61" s="24">
        <v>53</v>
      </c>
      <c r="B61" s="24" t="s">
        <v>1766</v>
      </c>
      <c r="C61" s="27" t="s">
        <v>129</v>
      </c>
      <c r="D61" s="24" t="s">
        <v>164</v>
      </c>
      <c r="E61" s="49" t="s">
        <v>165</v>
      </c>
      <c r="F61" s="26" t="s">
        <v>29</v>
      </c>
      <c r="G61" s="43">
        <v>31052</v>
      </c>
      <c r="H61" s="51" t="s">
        <v>21</v>
      </c>
      <c r="I61" s="52" t="s">
        <v>22</v>
      </c>
      <c r="J61" s="26" t="s">
        <v>30</v>
      </c>
      <c r="K61" s="53">
        <v>43181</v>
      </c>
      <c r="L61" s="53">
        <v>45490</v>
      </c>
      <c r="M61" s="55">
        <v>45108</v>
      </c>
      <c r="N61" s="55">
        <v>46934</v>
      </c>
    </row>
    <row r="62" spans="1:14" ht="24.95" customHeight="1">
      <c r="A62" s="24">
        <v>54</v>
      </c>
      <c r="B62" s="24" t="s">
        <v>169</v>
      </c>
      <c r="C62" s="27" t="s">
        <v>129</v>
      </c>
      <c r="D62" s="29" t="s">
        <v>1753</v>
      </c>
      <c r="E62" s="26" t="s">
        <v>1754</v>
      </c>
      <c r="F62" s="26" t="s">
        <v>20</v>
      </c>
      <c r="G62" s="43">
        <v>31776</v>
      </c>
      <c r="H62" s="51" t="s">
        <v>21</v>
      </c>
      <c r="I62" s="52" t="s">
        <v>22</v>
      </c>
      <c r="J62" s="26" t="s">
        <v>1755</v>
      </c>
      <c r="K62" s="53">
        <v>45806</v>
      </c>
      <c r="L62" s="53">
        <v>45806</v>
      </c>
      <c r="M62" s="54">
        <v>45847</v>
      </c>
      <c r="N62" s="55">
        <v>47672</v>
      </c>
    </row>
    <row r="63" spans="1:14" ht="24.95" customHeight="1">
      <c r="A63" s="24">
        <v>55</v>
      </c>
      <c r="B63" s="24" t="s">
        <v>38</v>
      </c>
      <c r="C63" s="27" t="s">
        <v>39</v>
      </c>
      <c r="D63" s="24" t="s">
        <v>151</v>
      </c>
      <c r="E63" s="26" t="s">
        <v>152</v>
      </c>
      <c r="F63" s="26" t="s">
        <v>29</v>
      </c>
      <c r="G63" s="43">
        <v>26224</v>
      </c>
      <c r="H63" s="51" t="s">
        <v>21</v>
      </c>
      <c r="I63" s="52" t="s">
        <v>22</v>
      </c>
      <c r="J63" s="26" t="s">
        <v>30</v>
      </c>
      <c r="K63" s="53">
        <v>34366</v>
      </c>
      <c r="L63" s="53">
        <v>45278</v>
      </c>
      <c r="M63" s="55">
        <v>45108</v>
      </c>
      <c r="N63" s="55">
        <v>46934</v>
      </c>
    </row>
    <row r="64" spans="1:14" ht="24.95" customHeight="1">
      <c r="A64" s="24">
        <v>56</v>
      </c>
      <c r="B64" s="24" t="s">
        <v>1767</v>
      </c>
      <c r="C64" s="27" t="s">
        <v>85</v>
      </c>
      <c r="D64" s="24" t="s">
        <v>178</v>
      </c>
      <c r="E64" s="87" t="s">
        <v>179</v>
      </c>
      <c r="F64" s="86" t="s">
        <v>29</v>
      </c>
      <c r="G64" s="88">
        <v>24802</v>
      </c>
      <c r="H64" s="97" t="s">
        <v>21</v>
      </c>
      <c r="I64" s="97" t="s">
        <v>22</v>
      </c>
      <c r="J64" s="27" t="s">
        <v>30</v>
      </c>
      <c r="K64" s="88">
        <v>35685</v>
      </c>
      <c r="L64" s="88">
        <v>35685</v>
      </c>
      <c r="M64" s="55">
        <v>45108</v>
      </c>
      <c r="N64" s="55">
        <v>46717</v>
      </c>
    </row>
    <row r="65" spans="1:14" ht="24.95" customHeight="1">
      <c r="A65" s="24">
        <v>57</v>
      </c>
      <c r="B65" s="24" t="s">
        <v>180</v>
      </c>
      <c r="C65" s="27" t="s">
        <v>150</v>
      </c>
      <c r="D65" s="24" t="s">
        <v>181</v>
      </c>
      <c r="E65" s="50" t="s">
        <v>182</v>
      </c>
      <c r="F65" s="26" t="s">
        <v>20</v>
      </c>
      <c r="G65" s="43">
        <v>27357</v>
      </c>
      <c r="H65" s="97" t="s">
        <v>21</v>
      </c>
      <c r="I65" s="52" t="s">
        <v>22</v>
      </c>
      <c r="J65" s="26" t="s">
        <v>30</v>
      </c>
      <c r="K65" s="53">
        <v>35703</v>
      </c>
      <c r="L65" s="53">
        <v>45278</v>
      </c>
      <c r="M65" s="55">
        <v>45108</v>
      </c>
      <c r="N65" s="55">
        <v>46934</v>
      </c>
    </row>
    <row r="66" spans="1:14" ht="24.95" customHeight="1">
      <c r="A66" s="24">
        <v>58</v>
      </c>
      <c r="B66" s="24" t="s">
        <v>44</v>
      </c>
      <c r="C66" s="27" t="s">
        <v>45</v>
      </c>
      <c r="D66" s="29" t="s">
        <v>183</v>
      </c>
      <c r="E66" s="26" t="s">
        <v>184</v>
      </c>
      <c r="F66" s="26" t="s">
        <v>20</v>
      </c>
      <c r="G66" s="43">
        <v>33762</v>
      </c>
      <c r="H66" s="51" t="s">
        <v>21</v>
      </c>
      <c r="I66" s="52" t="s">
        <v>22</v>
      </c>
      <c r="J66" s="26" t="s">
        <v>50</v>
      </c>
      <c r="K66" s="53">
        <v>45415</v>
      </c>
      <c r="L66" s="53">
        <v>45415</v>
      </c>
      <c r="M66" s="53">
        <v>45415</v>
      </c>
      <c r="N66" s="53">
        <v>47242</v>
      </c>
    </row>
    <row r="67" spans="1:14" ht="24.95" customHeight="1">
      <c r="A67" s="24"/>
      <c r="B67" s="31" t="s">
        <v>51</v>
      </c>
      <c r="C67" s="74"/>
      <c r="D67" s="292"/>
      <c r="E67" s="26"/>
      <c r="F67" s="26"/>
      <c r="G67" s="43"/>
      <c r="H67" s="51"/>
      <c r="I67" s="52"/>
      <c r="J67" s="26"/>
      <c r="K67" s="53"/>
      <c r="L67" s="53"/>
      <c r="M67" s="54"/>
      <c r="N67" s="55"/>
    </row>
    <row r="68" spans="1:14" ht="24.95" customHeight="1">
      <c r="A68" s="24"/>
      <c r="B68" s="31" t="s">
        <v>185</v>
      </c>
      <c r="C68" s="25"/>
      <c r="D68" s="31" t="s">
        <v>52</v>
      </c>
      <c r="E68" s="26"/>
      <c r="F68" s="26"/>
      <c r="G68" s="43"/>
      <c r="H68" s="51"/>
      <c r="I68" s="52"/>
      <c r="J68" s="26"/>
      <c r="K68" s="53"/>
      <c r="L68" s="53"/>
      <c r="M68" s="54"/>
      <c r="N68" s="55"/>
    </row>
    <row r="69" spans="1:14" ht="24.95" customHeight="1" thickBot="1">
      <c r="A69" s="24">
        <v>59</v>
      </c>
      <c r="B69" s="24" t="s">
        <v>186</v>
      </c>
      <c r="C69" s="27" t="s">
        <v>55</v>
      </c>
      <c r="D69" s="24" t="s">
        <v>187</v>
      </c>
      <c r="E69" s="26" t="s">
        <v>188</v>
      </c>
      <c r="F69" s="26" t="s">
        <v>20</v>
      </c>
      <c r="G69" s="43">
        <v>25917</v>
      </c>
      <c r="H69" s="51" t="s">
        <v>21</v>
      </c>
      <c r="I69" s="52" t="s">
        <v>22</v>
      </c>
      <c r="J69" s="26" t="s">
        <v>23</v>
      </c>
      <c r="K69" s="53">
        <v>42779</v>
      </c>
      <c r="L69" s="53">
        <v>44013</v>
      </c>
      <c r="M69" s="55">
        <v>45839</v>
      </c>
      <c r="N69" s="55">
        <v>47664</v>
      </c>
    </row>
    <row r="70" spans="1:14" ht="24.95" customHeight="1" thickBot="1">
      <c r="A70" s="24">
        <v>60</v>
      </c>
      <c r="B70" s="24" t="s">
        <v>189</v>
      </c>
      <c r="C70" s="27" t="s">
        <v>26</v>
      </c>
      <c r="D70" s="293" t="s">
        <v>1735</v>
      </c>
      <c r="E70" s="95" t="s">
        <v>1712</v>
      </c>
      <c r="F70" s="26" t="s">
        <v>29</v>
      </c>
      <c r="G70" s="43">
        <v>30148</v>
      </c>
      <c r="H70" s="51" t="s">
        <v>21</v>
      </c>
      <c r="I70" s="52" t="s">
        <v>22</v>
      </c>
      <c r="J70" s="26" t="s">
        <v>30</v>
      </c>
      <c r="K70" s="53">
        <v>45667</v>
      </c>
      <c r="L70" s="53">
        <v>45667</v>
      </c>
      <c r="M70" s="54">
        <v>45717</v>
      </c>
      <c r="N70" s="55">
        <v>47542</v>
      </c>
    </row>
    <row r="71" spans="1:14" ht="24.95" customHeight="1">
      <c r="A71" s="24">
        <v>61</v>
      </c>
      <c r="B71" s="35" t="s">
        <v>190</v>
      </c>
      <c r="C71" s="76" t="s">
        <v>35</v>
      </c>
      <c r="D71" s="24" t="s">
        <v>1120</v>
      </c>
      <c r="E71" s="26" t="s">
        <v>1121</v>
      </c>
      <c r="F71" s="46" t="s">
        <v>20</v>
      </c>
      <c r="G71" s="48">
        <v>27156</v>
      </c>
      <c r="H71" s="51" t="s">
        <v>21</v>
      </c>
      <c r="I71" s="63" t="s">
        <v>22</v>
      </c>
      <c r="J71" s="26" t="s">
        <v>30</v>
      </c>
      <c r="K71" s="64">
        <v>35179</v>
      </c>
      <c r="L71" s="53">
        <v>45278</v>
      </c>
      <c r="M71" s="214">
        <v>45474</v>
      </c>
      <c r="N71" s="65">
        <v>47299</v>
      </c>
    </row>
    <row r="72" spans="1:14" ht="24.95" customHeight="1">
      <c r="A72" s="24">
        <v>62</v>
      </c>
      <c r="B72" s="35" t="s">
        <v>190</v>
      </c>
      <c r="C72" s="76" t="str">
        <f>$C$73</f>
        <v>UR 5(i)Admin</v>
      </c>
      <c r="D72" s="153" t="s">
        <v>1501</v>
      </c>
      <c r="E72" s="50" t="s">
        <v>1502</v>
      </c>
      <c r="F72" s="96" t="s">
        <v>29</v>
      </c>
      <c r="G72" s="109">
        <v>31383</v>
      </c>
      <c r="H72" s="51" t="s">
        <v>21</v>
      </c>
      <c r="I72" s="113" t="s">
        <v>22</v>
      </c>
      <c r="J72" s="50" t="s">
        <v>30</v>
      </c>
      <c r="K72" s="161">
        <v>42375</v>
      </c>
      <c r="L72" s="161">
        <v>45278</v>
      </c>
      <c r="M72" s="98">
        <v>45839</v>
      </c>
      <c r="N72" s="98">
        <v>47664</v>
      </c>
    </row>
    <row r="73" spans="1:14" ht="24.95" customHeight="1">
      <c r="A73" s="24">
        <v>63</v>
      </c>
      <c r="B73" s="24" t="s">
        <v>80</v>
      </c>
      <c r="C73" s="27" t="s">
        <v>39</v>
      </c>
      <c r="D73" s="24" t="s">
        <v>196</v>
      </c>
      <c r="E73" s="26" t="s">
        <v>197</v>
      </c>
      <c r="F73" s="26" t="s">
        <v>29</v>
      </c>
      <c r="G73" s="43">
        <v>25675</v>
      </c>
      <c r="H73" s="51" t="s">
        <v>21</v>
      </c>
      <c r="I73" s="52" t="s">
        <v>22</v>
      </c>
      <c r="J73" s="26" t="s">
        <v>30</v>
      </c>
      <c r="K73" s="53">
        <v>35737</v>
      </c>
      <c r="L73" s="53">
        <v>45278</v>
      </c>
      <c r="M73" s="55">
        <v>45108</v>
      </c>
      <c r="N73" s="55">
        <v>46934</v>
      </c>
    </row>
    <row r="74" spans="1:14" ht="24.95" customHeight="1">
      <c r="A74" s="24">
        <v>64</v>
      </c>
      <c r="B74" s="24" t="s">
        <v>44</v>
      </c>
      <c r="C74" s="27" t="s">
        <v>45</v>
      </c>
      <c r="D74" s="24" t="s">
        <v>198</v>
      </c>
      <c r="E74" s="26" t="s">
        <v>199</v>
      </c>
      <c r="F74" s="26" t="s">
        <v>20</v>
      </c>
      <c r="G74" s="43">
        <v>25259</v>
      </c>
      <c r="H74" s="51" t="s">
        <v>21</v>
      </c>
      <c r="I74" s="52" t="s">
        <v>22</v>
      </c>
      <c r="J74" s="26" t="s">
        <v>50</v>
      </c>
      <c r="K74" s="53">
        <v>37509</v>
      </c>
      <c r="L74" s="53">
        <v>37509</v>
      </c>
      <c r="M74" s="55">
        <v>45108</v>
      </c>
      <c r="N74" s="55">
        <v>46934</v>
      </c>
    </row>
    <row r="75" spans="1:14" ht="24.95" customHeight="1">
      <c r="A75" s="24"/>
      <c r="B75" s="31" t="s">
        <v>51</v>
      </c>
      <c r="C75" s="3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24.95" customHeight="1">
      <c r="A76" s="24"/>
      <c r="B76" s="31" t="s">
        <v>200</v>
      </c>
      <c r="C76" s="25"/>
      <c r="D76" s="31" t="s">
        <v>52</v>
      </c>
      <c r="E76" s="26"/>
      <c r="F76" s="26"/>
      <c r="G76" s="43"/>
      <c r="H76" s="51"/>
      <c r="I76" s="52"/>
      <c r="J76" s="26"/>
      <c r="K76" s="53"/>
      <c r="L76" s="53"/>
      <c r="M76" s="54"/>
      <c r="N76" s="55"/>
    </row>
    <row r="77" spans="1:14" ht="24.95" customHeight="1">
      <c r="A77" s="24">
        <v>65</v>
      </c>
      <c r="B77" s="24" t="s">
        <v>201</v>
      </c>
      <c r="C77" s="27" t="s">
        <v>55</v>
      </c>
      <c r="D77" s="29" t="s">
        <v>202</v>
      </c>
      <c r="E77" s="294" t="s">
        <v>203</v>
      </c>
      <c r="F77" s="26" t="s">
        <v>20</v>
      </c>
      <c r="G77" s="43">
        <v>25502</v>
      </c>
      <c r="H77" s="51" t="s">
        <v>21</v>
      </c>
      <c r="I77" s="52" t="s">
        <v>22</v>
      </c>
      <c r="J77" s="68" t="s">
        <v>58</v>
      </c>
      <c r="K77" s="71">
        <v>45139</v>
      </c>
      <c r="L77" s="71">
        <v>45139</v>
      </c>
      <c r="M77" s="55">
        <v>45139</v>
      </c>
      <c r="N77" s="55">
        <v>46965</v>
      </c>
    </row>
    <row r="78" spans="1:14" ht="24.95" customHeight="1">
      <c r="A78" s="24">
        <v>66</v>
      </c>
      <c r="B78" s="24" t="s">
        <v>204</v>
      </c>
      <c r="C78" s="27" t="s">
        <v>26</v>
      </c>
      <c r="D78" s="24" t="s">
        <v>208</v>
      </c>
      <c r="E78" s="26" t="s">
        <v>209</v>
      </c>
      <c r="F78" s="26" t="s">
        <v>29</v>
      </c>
      <c r="G78" s="43">
        <v>26739</v>
      </c>
      <c r="H78" s="51" t="s">
        <v>21</v>
      </c>
      <c r="I78" s="52" t="s">
        <v>22</v>
      </c>
      <c r="J78" s="26" t="s">
        <v>30</v>
      </c>
      <c r="K78" s="53">
        <v>40878</v>
      </c>
      <c r="L78" s="53">
        <v>45839</v>
      </c>
      <c r="M78" s="55">
        <v>45474</v>
      </c>
      <c r="N78" s="54">
        <v>47299</v>
      </c>
    </row>
    <row r="79" spans="1:14" s="4" customFormat="1" ht="24.95" customHeight="1">
      <c r="A79" s="24">
        <v>67</v>
      </c>
      <c r="B79" s="24" t="s">
        <v>204</v>
      </c>
      <c r="C79" s="27" t="s">
        <v>26</v>
      </c>
      <c r="D79" s="24" t="s">
        <v>210</v>
      </c>
      <c r="E79" s="26" t="s">
        <v>211</v>
      </c>
      <c r="F79" s="26" t="s">
        <v>29</v>
      </c>
      <c r="G79" s="43">
        <v>31052</v>
      </c>
      <c r="H79" s="51" t="s">
        <v>21</v>
      </c>
      <c r="I79" s="52" t="s">
        <v>22</v>
      </c>
      <c r="J79" s="26" t="s">
        <v>30</v>
      </c>
      <c r="K79" s="53">
        <v>39173</v>
      </c>
      <c r="L79" s="53">
        <v>45839</v>
      </c>
      <c r="M79" s="55">
        <v>45108</v>
      </c>
      <c r="N79" s="55">
        <v>46934</v>
      </c>
    </row>
    <row r="80" spans="1:14" ht="24.95" customHeight="1">
      <c r="A80" s="24">
        <v>68</v>
      </c>
      <c r="B80" s="24" t="s">
        <v>212</v>
      </c>
      <c r="C80" s="27" t="s">
        <v>39</v>
      </c>
      <c r="D80" s="24" t="s">
        <v>213</v>
      </c>
      <c r="E80" s="26" t="s">
        <v>214</v>
      </c>
      <c r="F80" s="26" t="s">
        <v>29</v>
      </c>
      <c r="G80" s="43">
        <v>32894</v>
      </c>
      <c r="H80" s="51" t="s">
        <v>21</v>
      </c>
      <c r="I80" s="52" t="s">
        <v>22</v>
      </c>
      <c r="J80" s="26" t="s">
        <v>30</v>
      </c>
      <c r="K80" s="53">
        <v>42866</v>
      </c>
      <c r="L80" s="53">
        <v>45392</v>
      </c>
      <c r="M80" s="55">
        <v>45108</v>
      </c>
      <c r="N80" s="55">
        <v>46934</v>
      </c>
    </row>
    <row r="81" spans="1:14" ht="24.95" customHeight="1">
      <c r="A81" s="24">
        <v>69</v>
      </c>
      <c r="B81" s="24" t="s">
        <v>212</v>
      </c>
      <c r="C81" s="27" t="s">
        <v>39</v>
      </c>
      <c r="D81" s="102" t="s">
        <v>901</v>
      </c>
      <c r="E81" s="108" t="s">
        <v>902</v>
      </c>
      <c r="F81" s="87" t="s">
        <v>29</v>
      </c>
      <c r="G81" s="156">
        <v>26078</v>
      </c>
      <c r="H81" s="51" t="s">
        <v>21</v>
      </c>
      <c r="I81" s="166" t="s">
        <v>22</v>
      </c>
      <c r="J81" s="108" t="s">
        <v>30</v>
      </c>
      <c r="K81" s="167">
        <v>35690</v>
      </c>
      <c r="L81" s="167">
        <v>40299</v>
      </c>
      <c r="M81" s="160">
        <v>45108</v>
      </c>
      <c r="N81" s="160">
        <v>46934</v>
      </c>
    </row>
    <row r="82" spans="1:14" ht="24.95" customHeight="1">
      <c r="A82" s="24">
        <v>70</v>
      </c>
      <c r="B82" s="24" t="s">
        <v>212</v>
      </c>
      <c r="C82" s="76" t="s">
        <v>39</v>
      </c>
      <c r="D82" s="24" t="s">
        <v>1018</v>
      </c>
      <c r="E82" s="26" t="s">
        <v>1019</v>
      </c>
      <c r="F82" s="46" t="s">
        <v>29</v>
      </c>
      <c r="G82" s="48">
        <v>34034</v>
      </c>
      <c r="H82" s="51" t="s">
        <v>21</v>
      </c>
      <c r="I82" s="63" t="s">
        <v>22</v>
      </c>
      <c r="J82" s="26" t="s">
        <v>30</v>
      </c>
      <c r="K82" s="64">
        <v>42850</v>
      </c>
      <c r="L82" s="64">
        <v>45392</v>
      </c>
      <c r="M82" s="98">
        <v>45108</v>
      </c>
      <c r="N82" s="98">
        <v>46934</v>
      </c>
    </row>
    <row r="83" spans="1:14" ht="24.95" customHeight="1">
      <c r="A83" s="24">
        <v>71</v>
      </c>
      <c r="B83" s="24" t="s">
        <v>80</v>
      </c>
      <c r="C83" s="27" t="s">
        <v>39</v>
      </c>
      <c r="D83" s="24" t="s">
        <v>219</v>
      </c>
      <c r="E83" s="26" t="s">
        <v>220</v>
      </c>
      <c r="F83" s="26" t="s">
        <v>29</v>
      </c>
      <c r="G83" s="43">
        <v>30556</v>
      </c>
      <c r="H83" s="51" t="s">
        <v>21</v>
      </c>
      <c r="I83" s="52" t="s">
        <v>22</v>
      </c>
      <c r="J83" s="26" t="s">
        <v>30</v>
      </c>
      <c r="K83" s="53">
        <v>42387</v>
      </c>
      <c r="L83" s="53">
        <v>45392</v>
      </c>
      <c r="M83" s="55">
        <v>45839</v>
      </c>
      <c r="N83" s="55">
        <v>47664</v>
      </c>
    </row>
    <row r="84" spans="1:14" ht="24.95" customHeight="1">
      <c r="A84" s="24">
        <v>72</v>
      </c>
      <c r="B84" s="24" t="s">
        <v>1757</v>
      </c>
      <c r="C84" s="27" t="s">
        <v>41</v>
      </c>
      <c r="D84" s="24" t="s">
        <v>217</v>
      </c>
      <c r="E84" s="26" t="s">
        <v>218</v>
      </c>
      <c r="F84" s="26" t="s">
        <v>29</v>
      </c>
      <c r="G84" s="43">
        <v>28239</v>
      </c>
      <c r="H84" s="51" t="s">
        <v>21</v>
      </c>
      <c r="I84" s="52" t="s">
        <v>22</v>
      </c>
      <c r="J84" s="26" t="s">
        <v>30</v>
      </c>
      <c r="K84" s="53">
        <v>39449</v>
      </c>
      <c r="L84" s="53">
        <v>42795</v>
      </c>
      <c r="M84" s="62">
        <v>45298</v>
      </c>
      <c r="N84" s="54">
        <v>47299</v>
      </c>
    </row>
    <row r="85" spans="1:14" ht="24.95" customHeight="1">
      <c r="A85" s="24">
        <v>73</v>
      </c>
      <c r="B85" s="24" t="s">
        <v>221</v>
      </c>
      <c r="C85" s="27" t="s">
        <v>41</v>
      </c>
      <c r="D85" s="24" t="s">
        <v>222</v>
      </c>
      <c r="E85" s="26" t="s">
        <v>223</v>
      </c>
      <c r="F85" s="26" t="s">
        <v>29</v>
      </c>
      <c r="G85" s="43">
        <v>29087</v>
      </c>
      <c r="H85" s="51" t="s">
        <v>21</v>
      </c>
      <c r="I85" s="52" t="s">
        <v>22</v>
      </c>
      <c r="J85" s="26" t="s">
        <v>30</v>
      </c>
      <c r="K85" s="53">
        <v>40518</v>
      </c>
      <c r="L85" s="53">
        <v>45278</v>
      </c>
      <c r="M85" s="55">
        <v>45108</v>
      </c>
      <c r="N85" s="55">
        <v>46934</v>
      </c>
    </row>
    <row r="86" spans="1:14" ht="24.95" customHeight="1">
      <c r="A86" s="24">
        <v>74</v>
      </c>
      <c r="B86" s="24" t="s">
        <v>221</v>
      </c>
      <c r="C86" s="27" t="s">
        <v>41</v>
      </c>
      <c r="D86" s="24" t="s">
        <v>224</v>
      </c>
      <c r="E86" s="262" t="s">
        <v>225</v>
      </c>
      <c r="F86" s="46" t="s">
        <v>29</v>
      </c>
      <c r="G86" s="48">
        <v>29022</v>
      </c>
      <c r="H86" s="51" t="s">
        <v>21</v>
      </c>
      <c r="I86" s="63" t="s">
        <v>22</v>
      </c>
      <c r="J86" s="26" t="s">
        <v>30</v>
      </c>
      <c r="K86" s="64">
        <v>43587</v>
      </c>
      <c r="L86" s="64">
        <v>45401</v>
      </c>
      <c r="M86" s="62">
        <v>45474</v>
      </c>
      <c r="N86" s="55">
        <v>47299</v>
      </c>
    </row>
    <row r="87" spans="1:14" ht="24.95" customHeight="1">
      <c r="A87" s="24">
        <v>75</v>
      </c>
      <c r="B87" s="24" t="s">
        <v>226</v>
      </c>
      <c r="C87" s="27" t="s">
        <v>85</v>
      </c>
      <c r="D87" s="24" t="s">
        <v>227</v>
      </c>
      <c r="E87" s="263" t="s">
        <v>228</v>
      </c>
      <c r="F87" s="46" t="s">
        <v>20</v>
      </c>
      <c r="G87" s="48">
        <v>33253</v>
      </c>
      <c r="H87" s="51" t="s">
        <v>21</v>
      </c>
      <c r="I87" s="63" t="s">
        <v>22</v>
      </c>
      <c r="J87" s="26" t="s">
        <v>30</v>
      </c>
      <c r="K87" s="64">
        <v>43703</v>
      </c>
      <c r="L87" s="64">
        <v>43703</v>
      </c>
      <c r="M87" s="62">
        <v>45474</v>
      </c>
      <c r="N87" s="55">
        <v>47299</v>
      </c>
    </row>
    <row r="88" spans="1:14" ht="24.95" customHeight="1">
      <c r="A88" s="24">
        <v>76</v>
      </c>
      <c r="B88" s="24" t="s">
        <v>44</v>
      </c>
      <c r="C88" s="27" t="s">
        <v>45</v>
      </c>
      <c r="D88" s="24" t="s">
        <v>229</v>
      </c>
      <c r="E88" s="26" t="s">
        <v>230</v>
      </c>
      <c r="F88" s="26" t="s">
        <v>20</v>
      </c>
      <c r="G88" s="91">
        <v>27011</v>
      </c>
      <c r="H88" s="99" t="s">
        <v>21</v>
      </c>
      <c r="I88" s="52" t="s">
        <v>22</v>
      </c>
      <c r="J88" s="26" t="s">
        <v>50</v>
      </c>
      <c r="K88" s="53">
        <v>45415</v>
      </c>
      <c r="L88" s="53">
        <v>45415</v>
      </c>
      <c r="M88" s="53">
        <v>45415</v>
      </c>
      <c r="N88" s="53">
        <v>47240</v>
      </c>
    </row>
    <row r="89" spans="1:14" ht="24.95" customHeight="1">
      <c r="A89" s="24"/>
      <c r="B89" s="31" t="s">
        <v>51</v>
      </c>
      <c r="C89" s="32"/>
      <c r="D89" s="32"/>
      <c r="E89" s="26"/>
      <c r="F89" s="26"/>
      <c r="G89" s="43"/>
      <c r="H89" s="51"/>
      <c r="I89" s="52"/>
      <c r="J89" s="26"/>
      <c r="K89" s="71"/>
      <c r="L89" s="53"/>
      <c r="M89" s="54"/>
      <c r="N89" s="55"/>
    </row>
    <row r="90" spans="1:14" ht="24.95" customHeight="1">
      <c r="A90" s="24"/>
      <c r="B90" s="31" t="s">
        <v>231</v>
      </c>
      <c r="C90" s="74"/>
      <c r="D90" s="24" t="s">
        <v>52</v>
      </c>
      <c r="E90" s="26"/>
      <c r="F90" s="26"/>
      <c r="G90" s="43"/>
      <c r="H90" s="51"/>
      <c r="I90" s="52"/>
      <c r="J90" s="26"/>
      <c r="K90" s="71"/>
      <c r="L90" s="71"/>
      <c r="M90" s="55"/>
      <c r="N90" s="55"/>
    </row>
    <row r="91" spans="1:14" ht="24.95" customHeight="1">
      <c r="A91" s="24">
        <v>78</v>
      </c>
      <c r="B91" s="24" t="s">
        <v>232</v>
      </c>
      <c r="C91" s="27" t="s">
        <v>55</v>
      </c>
      <c r="D91" s="29" t="s">
        <v>233</v>
      </c>
      <c r="E91" s="95" t="s">
        <v>234</v>
      </c>
      <c r="F91" s="26" t="s">
        <v>20</v>
      </c>
      <c r="G91" s="43">
        <v>27025</v>
      </c>
      <c r="H91" s="51" t="s">
        <v>21</v>
      </c>
      <c r="I91" s="52" t="s">
        <v>22</v>
      </c>
      <c r="J91" s="68" t="s">
        <v>58</v>
      </c>
      <c r="K91" s="71">
        <v>45139</v>
      </c>
      <c r="L91" s="71">
        <v>45139</v>
      </c>
      <c r="M91" s="55">
        <v>45139</v>
      </c>
      <c r="N91" s="55">
        <v>46965</v>
      </c>
    </row>
    <row r="92" spans="1:14" ht="24.95" customHeight="1">
      <c r="A92" s="24">
        <v>79</v>
      </c>
      <c r="B92" s="24" t="s">
        <v>235</v>
      </c>
      <c r="C92" s="27" t="s">
        <v>26</v>
      </c>
      <c r="D92" s="24" t="s">
        <v>239</v>
      </c>
      <c r="E92" s="26" t="s">
        <v>240</v>
      </c>
      <c r="F92" s="46" t="s">
        <v>20</v>
      </c>
      <c r="G92" s="48">
        <v>26612</v>
      </c>
      <c r="H92" s="51" t="s">
        <v>21</v>
      </c>
      <c r="I92" s="63" t="s">
        <v>22</v>
      </c>
      <c r="J92" s="26" t="s">
        <v>30</v>
      </c>
      <c r="K92" s="64">
        <v>40301</v>
      </c>
      <c r="L92" s="64">
        <v>45839</v>
      </c>
      <c r="M92" s="98">
        <v>45108</v>
      </c>
      <c r="N92" s="98">
        <v>46934</v>
      </c>
    </row>
    <row r="93" spans="1:14" ht="24.95" customHeight="1">
      <c r="A93" s="24">
        <v>80</v>
      </c>
      <c r="B93" s="24" t="s">
        <v>235</v>
      </c>
      <c r="C93" s="27" t="s">
        <v>26</v>
      </c>
      <c r="D93" s="35" t="s">
        <v>1835</v>
      </c>
      <c r="E93" s="35" t="s">
        <v>1836</v>
      </c>
      <c r="F93" s="46" t="s">
        <v>29</v>
      </c>
      <c r="G93" s="235">
        <v>29450</v>
      </c>
      <c r="H93" s="51" t="s">
        <v>21</v>
      </c>
      <c r="I93" s="63" t="s">
        <v>22</v>
      </c>
      <c r="J93" s="26" t="s">
        <v>30</v>
      </c>
      <c r="K93" s="64">
        <v>45964</v>
      </c>
      <c r="L93" s="64">
        <v>45964</v>
      </c>
      <c r="M93" s="64">
        <v>45964</v>
      </c>
      <c r="N93" s="98">
        <v>47787</v>
      </c>
    </row>
    <row r="94" spans="1:14" ht="24.95" customHeight="1">
      <c r="A94" s="24">
        <v>81</v>
      </c>
      <c r="B94" s="24" t="s">
        <v>235</v>
      </c>
      <c r="C94" s="27" t="s">
        <v>26</v>
      </c>
      <c r="D94" s="24" t="s">
        <v>765</v>
      </c>
      <c r="E94" s="26" t="s">
        <v>766</v>
      </c>
      <c r="F94" s="46" t="s">
        <v>29</v>
      </c>
      <c r="G94" s="48">
        <v>28437</v>
      </c>
      <c r="H94" s="51" t="s">
        <v>21</v>
      </c>
      <c r="I94" s="63" t="s">
        <v>22</v>
      </c>
      <c r="J94" s="26" t="s">
        <v>30</v>
      </c>
      <c r="K94" s="64">
        <v>40077</v>
      </c>
      <c r="L94" s="64">
        <v>45839</v>
      </c>
      <c r="M94" s="65">
        <v>45108</v>
      </c>
      <c r="N94" s="65">
        <v>46934</v>
      </c>
    </row>
    <row r="95" spans="1:14" ht="24.95" customHeight="1">
      <c r="A95" s="24">
        <v>82</v>
      </c>
      <c r="B95" s="24" t="s">
        <v>236</v>
      </c>
      <c r="C95" s="27" t="s">
        <v>35</v>
      </c>
      <c r="D95" s="24" t="s">
        <v>241</v>
      </c>
      <c r="E95" s="26" t="s">
        <v>242</v>
      </c>
      <c r="F95" s="26" t="s">
        <v>29</v>
      </c>
      <c r="G95" s="43">
        <v>28000</v>
      </c>
      <c r="H95" s="51" t="s">
        <v>21</v>
      </c>
      <c r="I95" s="52" t="s">
        <v>22</v>
      </c>
      <c r="J95" s="26" t="s">
        <v>30</v>
      </c>
      <c r="K95" s="53">
        <v>42370</v>
      </c>
      <c r="L95" s="53">
        <v>45839</v>
      </c>
      <c r="M95" s="55">
        <v>45839</v>
      </c>
      <c r="N95" s="55">
        <v>47664</v>
      </c>
    </row>
    <row r="96" spans="1:14" ht="24.95" customHeight="1">
      <c r="A96" s="24">
        <v>83</v>
      </c>
      <c r="B96" s="24" t="s">
        <v>80</v>
      </c>
      <c r="C96" s="27" t="s">
        <v>39</v>
      </c>
      <c r="D96" s="24" t="s">
        <v>243</v>
      </c>
      <c r="E96" s="26" t="s">
        <v>244</v>
      </c>
      <c r="F96" s="26" t="s">
        <v>29</v>
      </c>
      <c r="G96" s="43">
        <v>29881</v>
      </c>
      <c r="H96" s="51" t="s">
        <v>21</v>
      </c>
      <c r="I96" s="52" t="s">
        <v>22</v>
      </c>
      <c r="J96" s="26" t="s">
        <v>30</v>
      </c>
      <c r="K96" s="53">
        <v>43739</v>
      </c>
      <c r="L96" s="53">
        <v>45392</v>
      </c>
      <c r="M96" s="55">
        <v>45839</v>
      </c>
      <c r="N96" s="55">
        <v>47664</v>
      </c>
    </row>
    <row r="97" spans="1:14" ht="24.95" customHeight="1">
      <c r="A97" s="24">
        <v>84</v>
      </c>
      <c r="B97" s="24" t="s">
        <v>245</v>
      </c>
      <c r="C97" s="27" t="s">
        <v>39</v>
      </c>
      <c r="D97" s="75" t="s">
        <v>246</v>
      </c>
      <c r="E97" s="93" t="s">
        <v>247</v>
      </c>
      <c r="F97" s="92" t="s">
        <v>20</v>
      </c>
      <c r="G97" s="94">
        <v>25362</v>
      </c>
      <c r="H97" s="51" t="s">
        <v>21</v>
      </c>
      <c r="I97" s="63" t="s">
        <v>22</v>
      </c>
      <c r="J97" s="26" t="s">
        <v>30</v>
      </c>
      <c r="K97" s="64">
        <v>34591</v>
      </c>
      <c r="L97" s="64">
        <v>34591</v>
      </c>
      <c r="M97" s="62">
        <v>45490</v>
      </c>
      <c r="N97" s="98">
        <v>46934</v>
      </c>
    </row>
    <row r="98" spans="1:14" ht="24.95" customHeight="1">
      <c r="A98" s="24">
        <v>85</v>
      </c>
      <c r="B98" s="24" t="s">
        <v>248</v>
      </c>
      <c r="C98" s="27" t="s">
        <v>85</v>
      </c>
      <c r="D98" s="24" t="s">
        <v>249</v>
      </c>
      <c r="E98" s="26" t="s">
        <v>250</v>
      </c>
      <c r="F98" s="26" t="s">
        <v>29</v>
      </c>
      <c r="G98" s="43">
        <v>31776</v>
      </c>
      <c r="H98" s="51" t="s">
        <v>21</v>
      </c>
      <c r="I98" s="52" t="s">
        <v>22</v>
      </c>
      <c r="J98" s="26" t="s">
        <v>30</v>
      </c>
      <c r="K98" s="53">
        <v>43682</v>
      </c>
      <c r="L98" s="53">
        <v>43682</v>
      </c>
      <c r="M98" s="55">
        <v>45108</v>
      </c>
      <c r="N98" s="55">
        <v>46934</v>
      </c>
    </row>
    <row r="99" spans="1:14" ht="24.95" customHeight="1">
      <c r="A99" s="24">
        <v>86</v>
      </c>
      <c r="B99" s="24" t="s">
        <v>44</v>
      </c>
      <c r="C99" s="27" t="s">
        <v>45</v>
      </c>
      <c r="D99" s="119" t="s">
        <v>251</v>
      </c>
      <c r="E99" s="95" t="s">
        <v>252</v>
      </c>
      <c r="F99" s="95" t="s">
        <v>20</v>
      </c>
      <c r="G99" s="269">
        <v>31345</v>
      </c>
      <c r="H99" s="95" t="s">
        <v>21</v>
      </c>
      <c r="I99" s="95" t="s">
        <v>22</v>
      </c>
      <c r="J99" s="95" t="s">
        <v>50</v>
      </c>
      <c r="K99" s="269">
        <v>45415</v>
      </c>
      <c r="L99" s="269">
        <v>45415</v>
      </c>
      <c r="M99" s="269">
        <v>45415</v>
      </c>
      <c r="N99" s="269">
        <v>47240</v>
      </c>
    </row>
    <row r="100" spans="1:14" ht="24.95" customHeight="1">
      <c r="A100" s="24">
        <v>87</v>
      </c>
      <c r="B100" s="24" t="s">
        <v>1769</v>
      </c>
      <c r="C100" s="27" t="s">
        <v>45</v>
      </c>
      <c r="D100" s="24" t="s">
        <v>1770</v>
      </c>
      <c r="E100" s="262" t="s">
        <v>139</v>
      </c>
      <c r="F100" s="26" t="s">
        <v>29</v>
      </c>
      <c r="G100" s="43">
        <v>29031</v>
      </c>
      <c r="H100" s="51" t="s">
        <v>21</v>
      </c>
      <c r="I100" s="52" t="s">
        <v>22</v>
      </c>
      <c r="J100" s="26" t="s">
        <v>50</v>
      </c>
      <c r="K100" s="71">
        <v>43716</v>
      </c>
      <c r="L100" s="71">
        <v>43716</v>
      </c>
      <c r="M100" s="55">
        <v>45839</v>
      </c>
      <c r="N100" s="55" t="s">
        <v>1750</v>
      </c>
    </row>
    <row r="101" spans="1:14" ht="24.95" customHeight="1">
      <c r="A101" s="24">
        <v>88</v>
      </c>
      <c r="B101" s="24" t="s">
        <v>46</v>
      </c>
      <c r="C101" s="27" t="s">
        <v>47</v>
      </c>
      <c r="D101" s="24" t="s">
        <v>253</v>
      </c>
      <c r="E101" s="262" t="s">
        <v>254</v>
      </c>
      <c r="F101" s="26" t="s">
        <v>29</v>
      </c>
      <c r="G101" s="43">
        <v>32071</v>
      </c>
      <c r="H101" s="51" t="s">
        <v>21</v>
      </c>
      <c r="I101" s="52" t="s">
        <v>22</v>
      </c>
      <c r="J101" s="26" t="s">
        <v>50</v>
      </c>
      <c r="K101" s="71">
        <v>43716</v>
      </c>
      <c r="L101" s="71">
        <v>43716</v>
      </c>
      <c r="M101" s="55">
        <v>45474</v>
      </c>
      <c r="N101" s="55">
        <v>47299</v>
      </c>
    </row>
    <row r="102" spans="1:14" ht="24.95" customHeight="1">
      <c r="B102" s="77" t="s">
        <v>51</v>
      </c>
      <c r="C102" s="76"/>
      <c r="D102" s="78" t="e">
        <f>SUM(#REF!)</f>
        <v>#REF!</v>
      </c>
      <c r="E102" s="26"/>
      <c r="F102" s="46"/>
      <c r="G102" s="48"/>
      <c r="H102" s="73"/>
      <c r="I102" s="63"/>
      <c r="J102" s="26"/>
      <c r="K102" s="100"/>
      <c r="L102" s="100"/>
      <c r="M102" s="62"/>
      <c r="N102" s="62"/>
    </row>
    <row r="103" spans="1:14" ht="24.95" customHeight="1">
      <c r="B103" s="77" t="s">
        <v>255</v>
      </c>
      <c r="C103" s="79"/>
      <c r="D103" s="81" t="s">
        <v>52</v>
      </c>
      <c r="E103" s="26"/>
      <c r="F103" s="46"/>
      <c r="G103" s="48"/>
      <c r="H103" s="73"/>
      <c r="I103" s="63"/>
      <c r="J103" s="26"/>
      <c r="K103" s="100"/>
      <c r="L103" s="100"/>
      <c r="M103" s="62"/>
      <c r="N103" s="62"/>
    </row>
    <row r="104" spans="1:14" s="2" customFormat="1" ht="24.95" customHeight="1">
      <c r="A104" s="83"/>
      <c r="B104" s="137" t="s">
        <v>256</v>
      </c>
      <c r="C104" s="125"/>
      <c r="D104" s="122" t="s">
        <v>52</v>
      </c>
      <c r="E104" s="126"/>
      <c r="F104" s="126"/>
      <c r="G104" s="133"/>
      <c r="H104" s="137"/>
      <c r="I104" s="126"/>
      <c r="J104" s="126"/>
      <c r="K104" s="138"/>
      <c r="L104" s="138"/>
      <c r="M104" s="139"/>
      <c r="N104" s="139"/>
    </row>
    <row r="105" spans="1:14" s="3" customFormat="1" ht="24.95" customHeight="1">
      <c r="A105" s="82"/>
      <c r="B105" s="77" t="s">
        <v>257</v>
      </c>
      <c r="C105" s="83"/>
    </row>
    <row r="106" spans="1:14" s="3" customFormat="1" ht="24.95" customHeight="1">
      <c r="A106" s="84">
        <v>89</v>
      </c>
      <c r="B106" s="85" t="s">
        <v>258</v>
      </c>
      <c r="C106" s="76" t="s">
        <v>109</v>
      </c>
      <c r="D106" s="24" t="s">
        <v>259</v>
      </c>
      <c r="E106" s="96" t="s">
        <v>260</v>
      </c>
      <c r="F106" s="46" t="s">
        <v>20</v>
      </c>
      <c r="G106" s="48">
        <v>23420</v>
      </c>
      <c r="H106" s="73" t="s">
        <v>261</v>
      </c>
      <c r="I106" s="63" t="s">
        <v>22</v>
      </c>
      <c r="J106" s="26" t="s">
        <v>62</v>
      </c>
      <c r="K106" s="64">
        <v>34335</v>
      </c>
      <c r="L106" s="64">
        <v>41456</v>
      </c>
      <c r="M106" s="65">
        <v>45108</v>
      </c>
      <c r="N106" s="65">
        <v>46934</v>
      </c>
    </row>
    <row r="107" spans="1:14" s="3" customFormat="1" ht="24.95" customHeight="1">
      <c r="A107" s="84">
        <f>A106+1</f>
        <v>90</v>
      </c>
      <c r="B107" s="85" t="s">
        <v>262</v>
      </c>
      <c r="C107" s="76" t="s">
        <v>59</v>
      </c>
      <c r="D107" s="24" t="s">
        <v>1958</v>
      </c>
      <c r="E107" s="126" t="str">
        <f>'[1]ALLPSHCM (2)'!M154</f>
        <v>CF700041025TLD</v>
      </c>
      <c r="F107" s="46" t="s">
        <v>29</v>
      </c>
      <c r="G107" s="48">
        <v>25773</v>
      </c>
      <c r="H107" s="73" t="s">
        <v>261</v>
      </c>
      <c r="I107" s="63" t="s">
        <v>22</v>
      </c>
      <c r="J107" s="26" t="s">
        <v>62</v>
      </c>
      <c r="K107" s="64">
        <v>40508</v>
      </c>
      <c r="L107" s="64">
        <v>45108</v>
      </c>
      <c r="M107" s="65">
        <v>45109</v>
      </c>
      <c r="N107" s="65">
        <v>46934</v>
      </c>
    </row>
    <row r="108" spans="1:14" s="3" customFormat="1" ht="24.95" customHeight="1">
      <c r="A108" s="498">
        <f t="shared" ref="A108:A112" si="0">A107+1</f>
        <v>91</v>
      </c>
      <c r="B108" s="454" t="s">
        <v>263</v>
      </c>
      <c r="C108" s="276" t="s">
        <v>129</v>
      </c>
      <c r="D108" s="24" t="s">
        <v>636</v>
      </c>
      <c r="E108" s="27" t="s">
        <v>637</v>
      </c>
      <c r="F108" s="86" t="s">
        <v>20</v>
      </c>
      <c r="G108" s="154">
        <v>29385</v>
      </c>
      <c r="H108" s="73" t="s">
        <v>261</v>
      </c>
      <c r="I108" s="97" t="s">
        <v>22</v>
      </c>
      <c r="J108" s="27" t="s">
        <v>62</v>
      </c>
      <c r="K108" s="159">
        <v>42703</v>
      </c>
      <c r="L108" s="159">
        <v>45392</v>
      </c>
      <c r="M108" s="160">
        <v>45108</v>
      </c>
      <c r="N108" s="185">
        <v>46934</v>
      </c>
    </row>
    <row r="109" spans="1:14" s="3" customFormat="1" ht="24.95" customHeight="1">
      <c r="A109" s="498">
        <f t="shared" si="0"/>
        <v>92</v>
      </c>
      <c r="B109" s="454" t="s">
        <v>263</v>
      </c>
      <c r="C109" s="276" t="s">
        <v>129</v>
      </c>
      <c r="D109" s="24" t="s">
        <v>264</v>
      </c>
      <c r="E109" s="49" t="s">
        <v>265</v>
      </c>
      <c r="F109" s="46" t="s">
        <v>29</v>
      </c>
      <c r="G109" s="48">
        <v>30218</v>
      </c>
      <c r="H109" s="73" t="s">
        <v>261</v>
      </c>
      <c r="I109" s="63" t="s">
        <v>22</v>
      </c>
      <c r="J109" s="26" t="s">
        <v>62</v>
      </c>
      <c r="K109" s="64">
        <v>39563</v>
      </c>
      <c r="L109" s="64">
        <v>44198</v>
      </c>
      <c r="M109" s="65">
        <v>45108</v>
      </c>
      <c r="N109" s="65">
        <v>46934</v>
      </c>
    </row>
    <row r="110" spans="1:14" s="3" customFormat="1" ht="24.95" customHeight="1">
      <c r="A110" s="498">
        <f t="shared" si="0"/>
        <v>93</v>
      </c>
      <c r="B110" s="454" t="s">
        <v>263</v>
      </c>
      <c r="C110" s="76" t="s">
        <v>129</v>
      </c>
      <c r="D110" s="24" t="s">
        <v>998</v>
      </c>
      <c r="E110" s="26" t="s">
        <v>999</v>
      </c>
      <c r="F110" s="46" t="s">
        <v>29</v>
      </c>
      <c r="G110" s="48">
        <v>24844</v>
      </c>
      <c r="H110" s="73" t="s">
        <v>261</v>
      </c>
      <c r="I110" s="63" t="s">
        <v>22</v>
      </c>
      <c r="J110" s="26" t="s">
        <v>62</v>
      </c>
      <c r="K110" s="64">
        <v>41548</v>
      </c>
      <c r="L110" s="64">
        <v>43770</v>
      </c>
      <c r="M110" s="62">
        <v>45108</v>
      </c>
      <c r="N110" s="62">
        <v>46934</v>
      </c>
    </row>
    <row r="111" spans="1:14" s="3" customFormat="1" ht="24.95" customHeight="1">
      <c r="A111" s="498">
        <f t="shared" si="0"/>
        <v>94</v>
      </c>
      <c r="B111" s="454" t="s">
        <v>263</v>
      </c>
      <c r="C111" s="76" t="s">
        <v>129</v>
      </c>
      <c r="D111" s="24" t="s">
        <v>266</v>
      </c>
      <c r="E111" s="262" t="s">
        <v>267</v>
      </c>
      <c r="F111" s="26" t="s">
        <v>29</v>
      </c>
      <c r="G111" s="43">
        <v>30891</v>
      </c>
      <c r="H111" s="73" t="s">
        <v>261</v>
      </c>
      <c r="I111" s="52" t="s">
        <v>22</v>
      </c>
      <c r="J111" s="26" t="s">
        <v>62</v>
      </c>
      <c r="K111" s="53">
        <v>43599</v>
      </c>
      <c r="L111" s="53">
        <v>45278</v>
      </c>
      <c r="M111" s="55">
        <v>45474</v>
      </c>
      <c r="N111" s="65">
        <v>47299</v>
      </c>
    </row>
    <row r="112" spans="1:14" s="3" customFormat="1" ht="24.95" customHeight="1">
      <c r="A112" s="498">
        <f t="shared" si="0"/>
        <v>95</v>
      </c>
      <c r="B112" s="85" t="s">
        <v>268</v>
      </c>
      <c r="C112" s="76" t="s">
        <v>123</v>
      </c>
      <c r="D112" s="24" t="s">
        <v>269</v>
      </c>
      <c r="E112" s="96" t="s">
        <v>270</v>
      </c>
      <c r="F112" s="46" t="s">
        <v>29</v>
      </c>
      <c r="G112" s="48">
        <v>29584</v>
      </c>
      <c r="H112" s="73" t="s">
        <v>261</v>
      </c>
      <c r="I112" s="63" t="s">
        <v>22</v>
      </c>
      <c r="J112" s="26" t="s">
        <v>62</v>
      </c>
      <c r="K112" s="64">
        <v>37693</v>
      </c>
      <c r="L112" s="64">
        <v>42736</v>
      </c>
      <c r="M112" s="65">
        <v>45108</v>
      </c>
      <c r="N112" s="65">
        <v>46934</v>
      </c>
    </row>
    <row r="113" spans="1:14" s="3" customFormat="1" ht="16.5" customHeight="1">
      <c r="A113" s="498"/>
      <c r="B113" s="85" t="s">
        <v>268</v>
      </c>
      <c r="C113" s="76" t="s">
        <v>123</v>
      </c>
      <c r="D113" s="24" t="s">
        <v>271</v>
      </c>
      <c r="E113" s="26" t="s">
        <v>272</v>
      </c>
      <c r="F113" s="46" t="s">
        <v>20</v>
      </c>
      <c r="G113" s="48">
        <v>29918</v>
      </c>
      <c r="H113" s="73" t="s">
        <v>261</v>
      </c>
      <c r="I113" s="63" t="s">
        <v>22</v>
      </c>
      <c r="J113" s="26" t="s">
        <v>62</v>
      </c>
      <c r="K113" s="64">
        <v>41316</v>
      </c>
      <c r="L113" s="64">
        <v>41316</v>
      </c>
      <c r="M113" s="65">
        <v>45108</v>
      </c>
      <c r="N113" s="65">
        <v>46934</v>
      </c>
    </row>
    <row r="114" spans="1:14" s="3" customFormat="1" ht="24.95" customHeight="1">
      <c r="A114" s="498"/>
      <c r="B114" s="85" t="s">
        <v>268</v>
      </c>
      <c r="C114" s="76" t="s">
        <v>123</v>
      </c>
      <c r="D114" s="24" t="s">
        <v>273</v>
      </c>
      <c r="E114" s="26" t="s">
        <v>274</v>
      </c>
      <c r="F114" s="46" t="s">
        <v>29</v>
      </c>
      <c r="G114" s="48">
        <v>31727</v>
      </c>
      <c r="H114" s="73" t="s">
        <v>261</v>
      </c>
      <c r="I114" s="63" t="s">
        <v>22</v>
      </c>
      <c r="J114" s="26" t="s">
        <v>62</v>
      </c>
      <c r="K114" s="64">
        <v>42705</v>
      </c>
      <c r="L114" s="64">
        <v>42705</v>
      </c>
      <c r="M114" s="65">
        <v>45108</v>
      </c>
      <c r="N114" s="65">
        <v>46934</v>
      </c>
    </row>
    <row r="115" spans="1:14" s="3" customFormat="1" ht="24.95" customHeight="1">
      <c r="A115" s="498"/>
      <c r="B115" s="85" t="s">
        <v>268</v>
      </c>
      <c r="C115" s="76" t="s">
        <v>123</v>
      </c>
      <c r="D115" s="24" t="s">
        <v>275</v>
      </c>
      <c r="E115" s="96" t="s">
        <v>276</v>
      </c>
      <c r="F115" s="46" t="s">
        <v>29</v>
      </c>
      <c r="G115" s="48">
        <v>29279</v>
      </c>
      <c r="H115" s="73" t="s">
        <v>261</v>
      </c>
      <c r="I115" s="63" t="s">
        <v>22</v>
      </c>
      <c r="J115" s="26" t="s">
        <v>62</v>
      </c>
      <c r="K115" s="64">
        <v>40508</v>
      </c>
      <c r="L115" s="64">
        <v>40508</v>
      </c>
      <c r="M115" s="65">
        <v>45839</v>
      </c>
      <c r="N115" s="65">
        <v>47664</v>
      </c>
    </row>
    <row r="116" spans="1:14" s="3" customFormat="1" ht="24.95" customHeight="1">
      <c r="A116" s="498"/>
      <c r="B116" s="85" t="s">
        <v>278</v>
      </c>
      <c r="C116" s="76" t="s">
        <v>279</v>
      </c>
      <c r="D116" s="24" t="s">
        <v>280</v>
      </c>
      <c r="E116" s="96" t="s">
        <v>281</v>
      </c>
      <c r="F116" s="46" t="s">
        <v>29</v>
      </c>
      <c r="G116" s="48">
        <v>23784</v>
      </c>
      <c r="H116" s="73" t="s">
        <v>261</v>
      </c>
      <c r="I116" s="63" t="s">
        <v>22</v>
      </c>
      <c r="J116" s="26" t="s">
        <v>70</v>
      </c>
      <c r="K116" s="64">
        <v>34335</v>
      </c>
      <c r="L116" s="64">
        <v>42795</v>
      </c>
      <c r="M116" s="65">
        <v>45108</v>
      </c>
      <c r="N116" s="65">
        <v>45963</v>
      </c>
    </row>
    <row r="117" spans="1:14" s="3" customFormat="1" ht="24.95" customHeight="1">
      <c r="A117" s="498"/>
      <c r="B117" s="85" t="s">
        <v>278</v>
      </c>
      <c r="C117" s="76" t="s">
        <v>279</v>
      </c>
      <c r="D117" s="24" t="s">
        <v>282</v>
      </c>
      <c r="E117" s="96" t="s">
        <v>283</v>
      </c>
      <c r="F117" s="46" t="s">
        <v>29</v>
      </c>
      <c r="G117" s="48">
        <v>26290</v>
      </c>
      <c r="H117" s="73" t="s">
        <v>261</v>
      </c>
      <c r="I117" s="63" t="s">
        <v>22</v>
      </c>
      <c r="J117" s="26" t="s">
        <v>70</v>
      </c>
      <c r="K117" s="64">
        <v>34335</v>
      </c>
      <c r="L117" s="64">
        <v>42795</v>
      </c>
      <c r="M117" s="65">
        <v>45108</v>
      </c>
      <c r="N117" s="65">
        <v>46934</v>
      </c>
    </row>
    <row r="118" spans="1:14" s="3" customFormat="1" ht="24.95" customHeight="1">
      <c r="A118" s="498"/>
      <c r="B118" s="85" t="s">
        <v>278</v>
      </c>
      <c r="C118" s="76" t="s">
        <v>279</v>
      </c>
      <c r="D118" s="24" t="s">
        <v>284</v>
      </c>
      <c r="E118" s="96" t="s">
        <v>285</v>
      </c>
      <c r="F118" s="46" t="s">
        <v>29</v>
      </c>
      <c r="G118" s="48">
        <v>26517</v>
      </c>
      <c r="H118" s="73" t="s">
        <v>261</v>
      </c>
      <c r="I118" s="63" t="s">
        <v>22</v>
      </c>
      <c r="J118" s="26" t="s">
        <v>70</v>
      </c>
      <c r="K118" s="64">
        <v>34468</v>
      </c>
      <c r="L118" s="64">
        <v>42795</v>
      </c>
      <c r="M118" s="65">
        <v>45108</v>
      </c>
      <c r="N118" s="65">
        <v>46934</v>
      </c>
    </row>
    <row r="119" spans="1:14" s="3" customFormat="1" ht="24.95" customHeight="1">
      <c r="A119" s="498"/>
      <c r="B119" s="85" t="s">
        <v>278</v>
      </c>
      <c r="C119" s="76" t="s">
        <v>279</v>
      </c>
      <c r="D119" s="24" t="s">
        <v>1606</v>
      </c>
      <c r="E119" s="26" t="s">
        <v>1607</v>
      </c>
      <c r="F119" s="46" t="s">
        <v>29</v>
      </c>
      <c r="G119" s="48">
        <v>32371</v>
      </c>
      <c r="H119" s="73" t="s">
        <v>261</v>
      </c>
      <c r="I119" s="63" t="s">
        <v>22</v>
      </c>
      <c r="J119" s="26" t="s">
        <v>70</v>
      </c>
      <c r="K119" s="64">
        <v>40529</v>
      </c>
      <c r="L119" s="64">
        <v>42795</v>
      </c>
      <c r="M119" s="98">
        <v>46934</v>
      </c>
      <c r="N119" s="98">
        <v>46934</v>
      </c>
    </row>
    <row r="120" spans="1:14" s="3" customFormat="1" ht="24.95" customHeight="1">
      <c r="A120" s="498"/>
      <c r="B120" s="85" t="s">
        <v>286</v>
      </c>
      <c r="C120" s="76" t="s">
        <v>287</v>
      </c>
      <c r="D120" s="24" t="s">
        <v>1490</v>
      </c>
      <c r="E120" s="26" t="s">
        <v>1491</v>
      </c>
      <c r="F120" s="46" t="s">
        <v>29</v>
      </c>
      <c r="G120" s="48">
        <v>32726</v>
      </c>
      <c r="H120" s="73" t="s">
        <v>261</v>
      </c>
      <c r="I120" s="63" t="s">
        <v>22</v>
      </c>
      <c r="J120" s="26" t="s">
        <v>70</v>
      </c>
      <c r="K120" s="64">
        <v>42737</v>
      </c>
      <c r="L120" s="64">
        <v>42737</v>
      </c>
      <c r="M120" s="98">
        <v>45107</v>
      </c>
      <c r="N120" s="98">
        <v>46934</v>
      </c>
    </row>
    <row r="121" spans="1:14" s="3" customFormat="1" ht="24.95" customHeight="1">
      <c r="A121" s="498"/>
      <c r="B121" s="85" t="s">
        <v>1789</v>
      </c>
      <c r="C121" s="76"/>
      <c r="E121" s="26"/>
      <c r="F121" s="46"/>
      <c r="G121" s="48"/>
      <c r="H121" s="73"/>
      <c r="I121" s="63"/>
      <c r="J121" s="26"/>
      <c r="K121" s="64"/>
      <c r="L121" s="64"/>
      <c r="M121" s="98"/>
      <c r="N121" s="98"/>
    </row>
    <row r="122" spans="1:14" s="3" customFormat="1" ht="24.95" customHeight="1">
      <c r="A122" s="498"/>
      <c r="B122" s="83" t="s">
        <v>1811</v>
      </c>
      <c r="C122" s="76"/>
      <c r="D122" s="24" t="s">
        <v>52</v>
      </c>
      <c r="E122" s="49"/>
      <c r="F122" s="46"/>
      <c r="G122" s="48"/>
      <c r="H122" s="73"/>
      <c r="I122" s="63"/>
      <c r="J122" s="26"/>
      <c r="K122" s="64"/>
      <c r="L122" s="64"/>
      <c r="M122" s="65"/>
      <c r="N122" s="65"/>
    </row>
    <row r="123" spans="1:14" s="3" customFormat="1" ht="24.95" customHeight="1">
      <c r="A123" s="498"/>
      <c r="B123" s="85" t="s">
        <v>288</v>
      </c>
      <c r="C123" s="76" t="s">
        <v>109</v>
      </c>
      <c r="D123" s="24" t="s">
        <v>289</v>
      </c>
      <c r="E123" s="96" t="s">
        <v>290</v>
      </c>
      <c r="F123" s="46" t="s">
        <v>20</v>
      </c>
      <c r="G123" s="48">
        <v>22956</v>
      </c>
      <c r="H123" s="73" t="s">
        <v>261</v>
      </c>
      <c r="I123" s="63" t="s">
        <v>22</v>
      </c>
      <c r="J123" s="26" t="s">
        <v>62</v>
      </c>
      <c r="K123" s="64">
        <v>34335</v>
      </c>
      <c r="L123" s="64">
        <v>44743</v>
      </c>
      <c r="M123" s="65">
        <v>45108</v>
      </c>
      <c r="N123" s="65">
        <v>46934</v>
      </c>
    </row>
    <row r="124" spans="1:14" s="3" customFormat="1" ht="24.95" customHeight="1">
      <c r="A124" s="498"/>
      <c r="B124" s="85" t="s">
        <v>288</v>
      </c>
      <c r="C124" s="76" t="s">
        <v>109</v>
      </c>
      <c r="D124" s="24" t="s">
        <v>1813</v>
      </c>
      <c r="E124" s="96" t="s">
        <v>296</v>
      </c>
      <c r="F124" s="46" t="s">
        <v>20</v>
      </c>
      <c r="G124" s="48">
        <v>23660</v>
      </c>
      <c r="H124" s="73" t="s">
        <v>261</v>
      </c>
      <c r="I124" s="63" t="s">
        <v>22</v>
      </c>
      <c r="J124" s="26" t="s">
        <v>62</v>
      </c>
      <c r="K124" s="64">
        <v>35870</v>
      </c>
      <c r="L124" s="64">
        <v>45810</v>
      </c>
      <c r="M124" s="65">
        <v>45108</v>
      </c>
      <c r="N124" s="65">
        <v>46934</v>
      </c>
    </row>
    <row r="125" spans="1:14" s="3" customFormat="1" ht="24.95" customHeight="1">
      <c r="A125" s="498"/>
      <c r="B125" s="85" t="s">
        <v>291</v>
      </c>
      <c r="C125" s="76" t="s">
        <v>59</v>
      </c>
      <c r="D125" s="24" t="s">
        <v>292</v>
      </c>
      <c r="E125" s="46" t="s">
        <v>293</v>
      </c>
      <c r="F125" s="46" t="s">
        <v>20</v>
      </c>
      <c r="G125" s="48">
        <v>23588</v>
      </c>
      <c r="H125" s="73" t="s">
        <v>261</v>
      </c>
      <c r="I125" s="63" t="s">
        <v>22</v>
      </c>
      <c r="J125" s="26" t="s">
        <v>62</v>
      </c>
      <c r="K125" s="64">
        <v>34335</v>
      </c>
      <c r="L125" s="64">
        <v>44743</v>
      </c>
      <c r="M125" s="65">
        <v>45108</v>
      </c>
      <c r="N125" s="65">
        <v>46934</v>
      </c>
    </row>
    <row r="126" spans="1:14" s="3" customFormat="1" ht="24.95" customHeight="1">
      <c r="A126" s="498"/>
      <c r="B126" s="85"/>
      <c r="C126" s="76" t="s">
        <v>59</v>
      </c>
      <c r="D126" s="24" t="s">
        <v>294</v>
      </c>
      <c r="E126" s="96" t="s">
        <v>295</v>
      </c>
      <c r="F126" s="46" t="s">
        <v>29</v>
      </c>
      <c r="G126" s="48">
        <v>22928</v>
      </c>
      <c r="H126" s="73" t="s">
        <v>261</v>
      </c>
      <c r="I126" s="63" t="s">
        <v>22</v>
      </c>
      <c r="J126" s="26" t="s">
        <v>62</v>
      </c>
      <c r="K126" s="64">
        <v>34547</v>
      </c>
      <c r="L126" s="64">
        <v>44743</v>
      </c>
      <c r="M126" s="65">
        <v>45108</v>
      </c>
      <c r="N126" s="65">
        <v>46639</v>
      </c>
    </row>
    <row r="127" spans="1:14" s="3" customFormat="1" ht="24.95" customHeight="1">
      <c r="A127" s="498"/>
      <c r="B127" s="85" t="s">
        <v>263</v>
      </c>
      <c r="C127" s="76" t="s">
        <v>129</v>
      </c>
      <c r="D127" s="24" t="s">
        <v>1347</v>
      </c>
      <c r="E127" s="26" t="s">
        <v>1348</v>
      </c>
      <c r="F127" s="46" t="s">
        <v>29</v>
      </c>
      <c r="G127" s="48">
        <v>30613</v>
      </c>
      <c r="H127" s="73" t="s">
        <v>261</v>
      </c>
      <c r="I127" s="63" t="s">
        <v>22</v>
      </c>
      <c r="J127" s="26" t="s">
        <v>62</v>
      </c>
      <c r="K127" s="64">
        <v>42075</v>
      </c>
      <c r="L127" s="64">
        <v>45490</v>
      </c>
      <c r="M127" s="62">
        <v>45474</v>
      </c>
      <c r="N127" s="62">
        <v>47299</v>
      </c>
    </row>
    <row r="128" spans="1:14" s="3" customFormat="1" ht="24.95" customHeight="1">
      <c r="A128" s="498"/>
      <c r="B128" s="85"/>
      <c r="C128" s="76" t="s">
        <v>129</v>
      </c>
      <c r="D128" s="24" t="s">
        <v>1838</v>
      </c>
      <c r="E128" s="326" t="s">
        <v>1839</v>
      </c>
      <c r="F128" s="325" t="s">
        <v>20</v>
      </c>
      <c r="G128" s="461">
        <v>32055</v>
      </c>
      <c r="H128" s="73" t="s">
        <v>261</v>
      </c>
      <c r="I128" s="462" t="s">
        <v>22</v>
      </c>
      <c r="J128" s="326" t="s">
        <v>62</v>
      </c>
      <c r="K128" s="461">
        <v>42709</v>
      </c>
      <c r="L128" s="463">
        <v>45417</v>
      </c>
      <c r="M128" s="464">
        <v>45108</v>
      </c>
      <c r="N128" s="464">
        <v>46934</v>
      </c>
    </row>
    <row r="129" spans="1:14" s="3" customFormat="1" ht="24.95" customHeight="1">
      <c r="A129" s="498"/>
      <c r="B129" s="85" t="s">
        <v>268</v>
      </c>
      <c r="C129" s="76" t="s">
        <v>123</v>
      </c>
      <c r="D129" s="24" t="s">
        <v>297</v>
      </c>
      <c r="E129" s="26" t="s">
        <v>298</v>
      </c>
      <c r="F129" s="46" t="s">
        <v>20</v>
      </c>
      <c r="G129" s="48">
        <v>29125</v>
      </c>
      <c r="H129" s="73" t="s">
        <v>261</v>
      </c>
      <c r="I129" s="63" t="s">
        <v>22</v>
      </c>
      <c r="J129" s="26" t="s">
        <v>62</v>
      </c>
      <c r="K129" s="64">
        <v>42079</v>
      </c>
      <c r="L129" s="64">
        <v>42079</v>
      </c>
      <c r="M129" s="65">
        <v>45474</v>
      </c>
      <c r="N129" s="65">
        <v>47299</v>
      </c>
    </row>
    <row r="130" spans="1:14" s="3" customFormat="1" ht="24.95" customHeight="1">
      <c r="A130" s="498"/>
      <c r="B130" s="85"/>
      <c r="C130" s="76" t="s">
        <v>123</v>
      </c>
      <c r="D130" s="24" t="s">
        <v>299</v>
      </c>
      <c r="E130" s="26" t="s">
        <v>300</v>
      </c>
      <c r="F130" s="46" t="s">
        <v>20</v>
      </c>
      <c r="G130" s="48">
        <v>29504</v>
      </c>
      <c r="H130" s="73" t="s">
        <v>261</v>
      </c>
      <c r="I130" s="63" t="s">
        <v>22</v>
      </c>
      <c r="J130" s="26" t="s">
        <v>62</v>
      </c>
      <c r="K130" s="64">
        <v>42706</v>
      </c>
      <c r="L130" s="64">
        <v>42706</v>
      </c>
      <c r="M130" s="65">
        <v>45108</v>
      </c>
      <c r="N130" s="65">
        <v>46934</v>
      </c>
    </row>
    <row r="131" spans="1:14" s="3" customFormat="1" ht="24.95" customHeight="1">
      <c r="A131" s="498"/>
      <c r="B131" s="85"/>
      <c r="C131" s="76" t="s">
        <v>123</v>
      </c>
      <c r="D131" s="102" t="s">
        <v>312</v>
      </c>
      <c r="E131" s="264" t="s">
        <v>313</v>
      </c>
      <c r="F131" s="96" t="s">
        <v>20</v>
      </c>
      <c r="G131" s="109">
        <v>25508</v>
      </c>
      <c r="H131" s="73" t="s">
        <v>261</v>
      </c>
      <c r="I131" s="113" t="s">
        <v>22</v>
      </c>
      <c r="J131" s="50" t="s">
        <v>62</v>
      </c>
      <c r="K131" s="114">
        <v>44531</v>
      </c>
      <c r="L131" s="114">
        <v>44531</v>
      </c>
      <c r="M131" s="98">
        <v>45474</v>
      </c>
      <c r="N131" s="98">
        <v>47299</v>
      </c>
    </row>
    <row r="132" spans="1:14" s="3" customFormat="1" ht="24.95" customHeight="1">
      <c r="A132" s="498"/>
      <c r="B132" s="85" t="s">
        <v>277</v>
      </c>
      <c r="C132" s="76" t="s">
        <v>1869</v>
      </c>
      <c r="D132" s="24" t="s">
        <v>301</v>
      </c>
      <c r="E132" s="96" t="s">
        <v>302</v>
      </c>
      <c r="F132" s="46" t="s">
        <v>20</v>
      </c>
      <c r="G132" s="48">
        <v>25377</v>
      </c>
      <c r="H132" s="73" t="s">
        <v>261</v>
      </c>
      <c r="I132" s="63" t="s">
        <v>22</v>
      </c>
      <c r="J132" s="26" t="s">
        <v>70</v>
      </c>
      <c r="K132" s="64">
        <v>34335</v>
      </c>
      <c r="L132" s="64">
        <v>40848</v>
      </c>
      <c r="M132" s="65">
        <v>45474</v>
      </c>
      <c r="N132" s="65">
        <v>47292</v>
      </c>
    </row>
    <row r="133" spans="1:14" s="3" customFormat="1" ht="24.95" customHeight="1">
      <c r="A133" s="498"/>
      <c r="B133" s="85" t="s">
        <v>1973</v>
      </c>
      <c r="C133" s="76" t="s">
        <v>1974</v>
      </c>
      <c r="D133" s="24" t="s">
        <v>24</v>
      </c>
      <c r="E133" s="96"/>
      <c r="F133" s="46"/>
      <c r="G133" s="48"/>
      <c r="H133" s="73"/>
      <c r="I133" s="63"/>
      <c r="J133" s="26"/>
      <c r="K133" s="64"/>
      <c r="L133" s="64"/>
      <c r="M133" s="65"/>
      <c r="N133" s="65"/>
    </row>
    <row r="134" spans="1:14" s="3" customFormat="1" ht="24.95" customHeight="1">
      <c r="A134" s="505"/>
      <c r="B134" s="85" t="s">
        <v>278</v>
      </c>
      <c r="C134" s="76" t="s">
        <v>279</v>
      </c>
      <c r="D134" s="24" t="s">
        <v>303</v>
      </c>
      <c r="E134" s="96" t="s">
        <v>304</v>
      </c>
      <c r="F134" s="46" t="s">
        <v>29</v>
      </c>
      <c r="G134" s="48">
        <v>26930</v>
      </c>
      <c r="H134" s="73" t="s">
        <v>261</v>
      </c>
      <c r="I134" s="63" t="s">
        <v>22</v>
      </c>
      <c r="J134" s="26" t="s">
        <v>70</v>
      </c>
      <c r="K134" s="64">
        <v>40163</v>
      </c>
      <c r="L134" s="64">
        <v>42795</v>
      </c>
      <c r="M134" s="65">
        <v>45108</v>
      </c>
      <c r="N134" s="65">
        <v>46934</v>
      </c>
    </row>
    <row r="135" spans="1:14" s="3" customFormat="1" ht="24.95" customHeight="1">
      <c r="A135" s="505"/>
      <c r="B135" s="85" t="s">
        <v>305</v>
      </c>
      <c r="C135" s="76" t="s">
        <v>287</v>
      </c>
      <c r="D135" s="24" t="s">
        <v>306</v>
      </c>
      <c r="E135" s="46" t="s">
        <v>307</v>
      </c>
      <c r="F135" s="46" t="s">
        <v>20</v>
      </c>
      <c r="G135" s="106">
        <v>34601</v>
      </c>
      <c r="H135" s="112" t="s">
        <v>261</v>
      </c>
      <c r="I135" s="63" t="s">
        <v>22</v>
      </c>
      <c r="J135" s="26" t="s">
        <v>70</v>
      </c>
      <c r="K135" s="100">
        <v>44259</v>
      </c>
      <c r="L135" s="100">
        <v>44259</v>
      </c>
      <c r="M135" s="65">
        <v>44256</v>
      </c>
      <c r="N135" s="65">
        <v>46203</v>
      </c>
    </row>
    <row r="136" spans="1:14" s="3" customFormat="1" ht="24.95" customHeight="1">
      <c r="A136" s="505"/>
      <c r="B136" s="76" t="s">
        <v>360</v>
      </c>
      <c r="C136" s="76" t="s">
        <v>67</v>
      </c>
      <c r="D136" s="24" t="s">
        <v>361</v>
      </c>
      <c r="E136" s="262" t="s">
        <v>362</v>
      </c>
      <c r="F136" s="46" t="s">
        <v>20</v>
      </c>
      <c r="G136" s="48">
        <v>32163</v>
      </c>
      <c r="H136" s="73" t="s">
        <v>261</v>
      </c>
      <c r="I136" s="63" t="s">
        <v>22</v>
      </c>
      <c r="J136" s="26" t="s">
        <v>70</v>
      </c>
      <c r="K136" s="64">
        <v>43709</v>
      </c>
      <c r="L136" s="64">
        <v>43709</v>
      </c>
      <c r="M136" s="65">
        <v>47300</v>
      </c>
      <c r="N136" s="65">
        <v>47299</v>
      </c>
    </row>
    <row r="137" spans="1:14" s="3" customFormat="1" ht="24.95" customHeight="1">
      <c r="A137" s="84">
        <v>6</v>
      </c>
      <c r="B137" s="83" t="s">
        <v>1789</v>
      </c>
      <c r="C137" s="76"/>
      <c r="D137" s="129"/>
      <c r="E137" s="49"/>
      <c r="F137" s="46"/>
      <c r="G137" s="48"/>
      <c r="H137" s="73"/>
      <c r="I137" s="63"/>
      <c r="J137" s="26"/>
      <c r="K137" s="64"/>
      <c r="L137" s="64"/>
      <c r="M137" s="65"/>
      <c r="N137" s="65"/>
    </row>
    <row r="138" spans="1:14" s="3" customFormat="1" ht="24.95" customHeight="1">
      <c r="A138" s="84"/>
      <c r="B138" s="103" t="s">
        <v>317</v>
      </c>
      <c r="C138" s="103"/>
      <c r="D138" s="24" t="s">
        <v>52</v>
      </c>
      <c r="E138" s="49"/>
      <c r="F138" s="46"/>
      <c r="G138" s="48"/>
      <c r="H138" s="73"/>
      <c r="I138" s="63"/>
      <c r="J138" s="26"/>
      <c r="K138" s="64"/>
      <c r="L138" s="64"/>
      <c r="M138" s="65"/>
      <c r="N138" s="65"/>
    </row>
    <row r="139" spans="1:14" s="3" customFormat="1" ht="24.95" customHeight="1">
      <c r="A139" s="84"/>
      <c r="B139" s="85" t="s">
        <v>288</v>
      </c>
      <c r="C139" s="76" t="s">
        <v>109</v>
      </c>
      <c r="D139" s="24" t="s">
        <v>1496</v>
      </c>
      <c r="E139" s="107" t="s">
        <v>1497</v>
      </c>
      <c r="F139" s="46" t="s">
        <v>20</v>
      </c>
      <c r="G139" s="48">
        <v>25411</v>
      </c>
      <c r="H139" s="73" t="s">
        <v>261</v>
      </c>
      <c r="I139" s="63" t="s">
        <v>22</v>
      </c>
      <c r="J139" s="26" t="s">
        <v>23</v>
      </c>
      <c r="K139" s="64">
        <v>38749</v>
      </c>
      <c r="L139" s="64">
        <v>42795</v>
      </c>
      <c r="M139" s="214">
        <v>45901</v>
      </c>
      <c r="N139" s="98" t="s">
        <v>1977</v>
      </c>
    </row>
    <row r="140" spans="1:14" s="3" customFormat="1" ht="24.95" customHeight="1">
      <c r="A140" s="84"/>
      <c r="B140" s="85" t="s">
        <v>262</v>
      </c>
      <c r="C140" s="76" t="s">
        <v>59</v>
      </c>
      <c r="D140" s="24" t="s">
        <v>318</v>
      </c>
      <c r="E140" s="96" t="s">
        <v>319</v>
      </c>
      <c r="F140" s="46" t="s">
        <v>29</v>
      </c>
      <c r="G140" s="48">
        <v>27000</v>
      </c>
      <c r="H140" s="73" t="s">
        <v>261</v>
      </c>
      <c r="I140" s="63" t="s">
        <v>22</v>
      </c>
      <c r="J140" s="26" t="s">
        <v>62</v>
      </c>
      <c r="K140" s="64">
        <v>39566</v>
      </c>
      <c r="L140" s="64">
        <v>44743</v>
      </c>
      <c r="M140" s="65">
        <v>45108</v>
      </c>
      <c r="N140" s="65">
        <v>46934</v>
      </c>
    </row>
    <row r="141" spans="1:14" s="3" customFormat="1" ht="24.95" customHeight="1">
      <c r="A141" s="84">
        <v>7</v>
      </c>
      <c r="B141" s="85" t="s">
        <v>320</v>
      </c>
      <c r="C141" s="76" t="s">
        <v>129</v>
      </c>
      <c r="D141" s="24" t="s">
        <v>1812</v>
      </c>
      <c r="E141" s="96" t="s">
        <v>321</v>
      </c>
      <c r="F141" s="46" t="s">
        <v>29</v>
      </c>
      <c r="G141" s="48">
        <v>27169</v>
      </c>
      <c r="H141" s="73" t="s">
        <v>261</v>
      </c>
      <c r="I141" s="63" t="s">
        <v>22</v>
      </c>
      <c r="J141" s="26" t="s">
        <v>62</v>
      </c>
      <c r="K141" s="64">
        <v>35899</v>
      </c>
      <c r="L141" s="64">
        <v>44075</v>
      </c>
      <c r="M141" s="65">
        <v>45474</v>
      </c>
      <c r="N141" s="65">
        <v>47299</v>
      </c>
    </row>
    <row r="142" spans="1:14" s="3" customFormat="1" ht="24.95" customHeight="1">
      <c r="A142" s="84"/>
      <c r="B142" s="85" t="s">
        <v>320</v>
      </c>
      <c r="C142" s="76" t="s">
        <v>129</v>
      </c>
      <c r="D142" s="24" t="s">
        <v>322</v>
      </c>
      <c r="E142" s="26" t="s">
        <v>323</v>
      </c>
      <c r="F142" s="46" t="s">
        <v>20</v>
      </c>
      <c r="G142" s="48">
        <v>24435</v>
      </c>
      <c r="H142" s="73" t="s">
        <v>261</v>
      </c>
      <c r="I142" s="63" t="s">
        <v>22</v>
      </c>
      <c r="J142" s="26" t="s">
        <v>62</v>
      </c>
      <c r="K142" s="64">
        <v>42303</v>
      </c>
      <c r="L142" s="64">
        <v>44105</v>
      </c>
      <c r="M142" s="65">
        <v>45474</v>
      </c>
      <c r="N142" s="65">
        <v>47299</v>
      </c>
    </row>
    <row r="143" spans="1:14" s="3" customFormat="1" ht="24.95" customHeight="1">
      <c r="A143" s="84"/>
      <c r="B143" s="85" t="s">
        <v>320</v>
      </c>
      <c r="C143" s="24" t="s">
        <v>129</v>
      </c>
      <c r="D143" s="24" t="s">
        <v>327</v>
      </c>
      <c r="E143" s="96" t="s">
        <v>328</v>
      </c>
      <c r="F143" s="46" t="s">
        <v>29</v>
      </c>
      <c r="G143" s="48">
        <v>29043</v>
      </c>
      <c r="H143" s="73" t="s">
        <v>261</v>
      </c>
      <c r="I143" s="63" t="s">
        <v>22</v>
      </c>
      <c r="J143" s="26" t="s">
        <v>62</v>
      </c>
      <c r="K143" s="64">
        <v>40521</v>
      </c>
      <c r="L143" s="64">
        <v>46009</v>
      </c>
      <c r="M143" s="65">
        <v>45108</v>
      </c>
      <c r="N143" s="65">
        <v>46934</v>
      </c>
    </row>
    <row r="144" spans="1:14" s="3" customFormat="1" ht="24.95" customHeight="1">
      <c r="A144" s="84">
        <v>1</v>
      </c>
      <c r="B144" s="85" t="s">
        <v>326</v>
      </c>
      <c r="C144" s="76" t="s">
        <v>123</v>
      </c>
      <c r="D144" s="24" t="s">
        <v>329</v>
      </c>
      <c r="E144" s="26" t="s">
        <v>330</v>
      </c>
      <c r="F144" s="46" t="s">
        <v>20</v>
      </c>
      <c r="G144" s="48">
        <v>30682</v>
      </c>
      <c r="H144" s="73" t="s">
        <v>261</v>
      </c>
      <c r="I144" s="63" t="s">
        <v>22</v>
      </c>
      <c r="J144" s="26" t="s">
        <v>62</v>
      </c>
      <c r="K144" s="64">
        <v>42075</v>
      </c>
      <c r="L144" s="64">
        <v>42075</v>
      </c>
      <c r="M144" s="65">
        <v>45474</v>
      </c>
      <c r="N144" s="65">
        <v>47299</v>
      </c>
    </row>
    <row r="145" spans="1:14" s="3" customFormat="1" ht="24.95" customHeight="1">
      <c r="A145" s="84"/>
      <c r="B145" s="506"/>
      <c r="C145" s="76" t="s">
        <v>123</v>
      </c>
      <c r="D145" s="24" t="s">
        <v>331</v>
      </c>
      <c r="E145" s="49" t="s">
        <v>332</v>
      </c>
      <c r="F145" s="46" t="s">
        <v>29</v>
      </c>
      <c r="G145" s="48">
        <v>27475</v>
      </c>
      <c r="H145" s="73" t="s">
        <v>261</v>
      </c>
      <c r="I145" s="63" t="s">
        <v>22</v>
      </c>
      <c r="J145" s="26" t="s">
        <v>62</v>
      </c>
      <c r="K145" s="64">
        <v>43194</v>
      </c>
      <c r="L145" s="64">
        <v>43194</v>
      </c>
      <c r="M145" s="98">
        <v>46934</v>
      </c>
      <c r="N145" s="98">
        <v>46934</v>
      </c>
    </row>
    <row r="146" spans="1:14" s="3" customFormat="1" ht="24.95" customHeight="1">
      <c r="A146" s="84">
        <f>A144+1</f>
        <v>2</v>
      </c>
      <c r="B146" s="506"/>
      <c r="C146" s="76" t="s">
        <v>123</v>
      </c>
      <c r="D146" s="153" t="s">
        <v>645</v>
      </c>
      <c r="E146" s="108" t="s">
        <v>646</v>
      </c>
      <c r="F146" s="87" t="s">
        <v>20</v>
      </c>
      <c r="G146" s="156">
        <v>31168</v>
      </c>
      <c r="H146" s="73" t="s">
        <v>261</v>
      </c>
      <c r="I146" s="166" t="s">
        <v>22</v>
      </c>
      <c r="J146" s="108" t="s">
        <v>62</v>
      </c>
      <c r="K146" s="167">
        <v>42709</v>
      </c>
      <c r="L146" s="167">
        <v>42709</v>
      </c>
      <c r="M146" s="160">
        <v>45108</v>
      </c>
      <c r="N146" s="160">
        <v>46934</v>
      </c>
    </row>
    <row r="147" spans="1:14" s="3" customFormat="1" ht="24.95" customHeight="1">
      <c r="A147" s="84"/>
      <c r="B147" s="506"/>
      <c r="C147" s="76" t="s">
        <v>123</v>
      </c>
      <c r="D147" s="102" t="s">
        <v>642</v>
      </c>
      <c r="E147" s="266" t="s">
        <v>643</v>
      </c>
      <c r="F147" s="87" t="s">
        <v>20</v>
      </c>
      <c r="G147" s="156">
        <v>32671</v>
      </c>
      <c r="H147" s="73" t="s">
        <v>261</v>
      </c>
      <c r="I147" s="166" t="s">
        <v>22</v>
      </c>
      <c r="J147" s="108" t="s">
        <v>62</v>
      </c>
      <c r="K147" s="187">
        <v>45385</v>
      </c>
      <c r="L147" s="187">
        <v>45415</v>
      </c>
      <c r="M147" s="187">
        <v>45415</v>
      </c>
      <c r="N147" s="187">
        <v>47238</v>
      </c>
    </row>
    <row r="148" spans="1:14" s="3" customFormat="1" ht="24.95" customHeight="1">
      <c r="A148" s="84">
        <f>A146+1</f>
        <v>3</v>
      </c>
      <c r="B148" s="85" t="s">
        <v>334</v>
      </c>
      <c r="C148" s="76" t="s">
        <v>279</v>
      </c>
      <c r="D148" s="24" t="s">
        <v>335</v>
      </c>
      <c r="E148" s="96" t="s">
        <v>336</v>
      </c>
      <c r="F148" s="46" t="s">
        <v>29</v>
      </c>
      <c r="G148" s="48">
        <v>26209</v>
      </c>
      <c r="H148" s="73" t="s">
        <v>261</v>
      </c>
      <c r="I148" s="63" t="s">
        <v>22</v>
      </c>
      <c r="J148" s="26" t="s">
        <v>70</v>
      </c>
      <c r="K148" s="64">
        <v>35719</v>
      </c>
      <c r="L148" s="64">
        <v>42795</v>
      </c>
      <c r="M148" s="65">
        <v>45108</v>
      </c>
      <c r="N148" s="65">
        <v>46934</v>
      </c>
    </row>
    <row r="149" spans="1:14" s="3" customFormat="1" ht="24.95" customHeight="1">
      <c r="A149" s="84"/>
      <c r="B149" s="85" t="s">
        <v>286</v>
      </c>
      <c r="C149" s="76" t="s">
        <v>287</v>
      </c>
      <c r="D149" s="24" t="s">
        <v>337</v>
      </c>
      <c r="E149" s="265" t="s">
        <v>338</v>
      </c>
      <c r="F149" s="110" t="s">
        <v>20</v>
      </c>
      <c r="G149" s="111">
        <v>32663</v>
      </c>
      <c r="H149" s="115" t="s">
        <v>261</v>
      </c>
      <c r="I149" s="116" t="s">
        <v>22</v>
      </c>
      <c r="J149" s="117" t="s">
        <v>70</v>
      </c>
      <c r="K149" s="118">
        <v>43649</v>
      </c>
      <c r="L149" s="118">
        <v>43649</v>
      </c>
      <c r="M149" s="118">
        <v>45476</v>
      </c>
      <c r="N149" s="295">
        <v>47272</v>
      </c>
    </row>
    <row r="150" spans="1:14" s="3" customFormat="1" ht="24.95" customHeight="1">
      <c r="A150" s="84">
        <f>A148+1</f>
        <v>4</v>
      </c>
      <c r="B150" s="83" t="s">
        <v>1789</v>
      </c>
      <c r="C150" s="76"/>
      <c r="D150" s="129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1:14" s="3" customFormat="1" ht="24.95" customHeight="1">
      <c r="A151" s="84"/>
      <c r="B151" s="77" t="s">
        <v>339</v>
      </c>
      <c r="C151" s="77"/>
      <c r="D151" s="24" t="s">
        <v>52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s="3" customFormat="1" ht="24.95" customHeight="1">
      <c r="A152" s="84"/>
      <c r="B152" s="85" t="s">
        <v>288</v>
      </c>
      <c r="C152" s="76" t="s">
        <v>109</v>
      </c>
      <c r="D152" s="30" t="s">
        <v>1861</v>
      </c>
      <c r="E152" s="96" t="s">
        <v>1862</v>
      </c>
      <c r="F152" s="46" t="s">
        <v>29</v>
      </c>
      <c r="G152" s="48">
        <v>25897</v>
      </c>
      <c r="H152" s="73" t="s">
        <v>261</v>
      </c>
      <c r="I152" s="63" t="s">
        <v>22</v>
      </c>
      <c r="J152" s="26" t="s">
        <v>62</v>
      </c>
      <c r="K152" s="64">
        <v>46009</v>
      </c>
      <c r="L152" s="64">
        <v>46009</v>
      </c>
      <c r="M152" s="65">
        <v>46028</v>
      </c>
      <c r="N152" s="65">
        <v>47854</v>
      </c>
    </row>
    <row r="153" spans="1:14" s="3" customFormat="1" ht="24.95" customHeight="1">
      <c r="A153" s="84">
        <v>5</v>
      </c>
      <c r="B153" s="85" t="s">
        <v>308</v>
      </c>
      <c r="C153" s="76" t="s">
        <v>59</v>
      </c>
      <c r="D153" s="84" t="s">
        <v>340</v>
      </c>
      <c r="E153" s="96" t="s">
        <v>341</v>
      </c>
      <c r="F153" s="46" t="s">
        <v>29</v>
      </c>
      <c r="G153" s="48">
        <v>25525</v>
      </c>
      <c r="H153" s="73" t="s">
        <v>261</v>
      </c>
      <c r="I153" s="63" t="s">
        <v>22</v>
      </c>
      <c r="J153" s="26" t="s">
        <v>62</v>
      </c>
      <c r="K153" s="64">
        <v>35977</v>
      </c>
      <c r="L153" s="64">
        <v>44743</v>
      </c>
      <c r="M153" s="65">
        <v>45108</v>
      </c>
      <c r="N153" s="65">
        <v>46934</v>
      </c>
    </row>
    <row r="154" spans="1:14" s="3" customFormat="1" ht="24.95" customHeight="1">
      <c r="A154" s="84">
        <v>6</v>
      </c>
      <c r="B154" s="85"/>
      <c r="C154" s="119" t="s">
        <v>59</v>
      </c>
      <c r="D154" s="24" t="s">
        <v>1868</v>
      </c>
      <c r="E154" s="96" t="s">
        <v>342</v>
      </c>
      <c r="F154" s="46" t="s">
        <v>20</v>
      </c>
      <c r="G154" s="48">
        <v>24483</v>
      </c>
      <c r="H154" s="73" t="s">
        <v>261</v>
      </c>
      <c r="I154" s="63" t="s">
        <v>22</v>
      </c>
      <c r="J154" s="26" t="s">
        <v>62</v>
      </c>
      <c r="K154" s="64">
        <v>35975</v>
      </c>
      <c r="L154" s="64">
        <v>44743</v>
      </c>
      <c r="M154" s="65">
        <v>45108</v>
      </c>
      <c r="N154" s="65">
        <v>46934</v>
      </c>
    </row>
    <row r="155" spans="1:14" s="3" customFormat="1" ht="24.95" customHeight="1">
      <c r="A155" s="84">
        <v>7</v>
      </c>
      <c r="B155" s="85" t="s">
        <v>343</v>
      </c>
      <c r="C155" s="76" t="s">
        <v>129</v>
      </c>
      <c r="D155" s="84" t="s">
        <v>344</v>
      </c>
      <c r="E155" s="26" t="s">
        <v>345</v>
      </c>
      <c r="F155" s="46" t="s">
        <v>20</v>
      </c>
      <c r="G155" s="48">
        <v>26891</v>
      </c>
      <c r="H155" s="73" t="s">
        <v>261</v>
      </c>
      <c r="I155" s="63" t="s">
        <v>22</v>
      </c>
      <c r="J155" s="26" t="s">
        <v>62</v>
      </c>
      <c r="K155" s="64">
        <v>40508</v>
      </c>
      <c r="L155" s="64">
        <v>45490</v>
      </c>
      <c r="M155" s="62">
        <v>45839</v>
      </c>
      <c r="N155" s="55">
        <v>47664</v>
      </c>
    </row>
    <row r="156" spans="1:14" s="3" customFormat="1" ht="24.95" customHeight="1">
      <c r="A156" s="84">
        <v>8</v>
      </c>
      <c r="B156" s="85"/>
      <c r="C156" s="76" t="s">
        <v>129</v>
      </c>
      <c r="D156" s="24" t="s">
        <v>1857</v>
      </c>
      <c r="E156" s="26" t="s">
        <v>1858</v>
      </c>
      <c r="F156" s="46" t="s">
        <v>29</v>
      </c>
      <c r="G156" s="48">
        <v>29781</v>
      </c>
      <c r="H156" s="73" t="s">
        <v>261</v>
      </c>
      <c r="I156" s="63" t="s">
        <v>22</v>
      </c>
      <c r="J156" s="26" t="s">
        <v>62</v>
      </c>
      <c r="K156" s="64">
        <v>46009</v>
      </c>
      <c r="L156" s="64">
        <v>46009</v>
      </c>
      <c r="M156" s="62">
        <v>46024</v>
      </c>
      <c r="N156" s="55">
        <v>47848</v>
      </c>
    </row>
    <row r="157" spans="1:14" s="3" customFormat="1" ht="24.95" customHeight="1">
      <c r="A157" s="84">
        <v>9</v>
      </c>
      <c r="B157" s="85"/>
      <c r="C157" s="76" t="s">
        <v>129</v>
      </c>
      <c r="D157" s="30" t="s">
        <v>1859</v>
      </c>
      <c r="E157" s="26" t="s">
        <v>1860</v>
      </c>
      <c r="F157" s="46" t="s">
        <v>20</v>
      </c>
      <c r="G157" s="48">
        <v>28853</v>
      </c>
      <c r="H157" s="73" t="s">
        <v>261</v>
      </c>
      <c r="I157" s="63" t="s">
        <v>22</v>
      </c>
      <c r="J157" s="26" t="s">
        <v>62</v>
      </c>
      <c r="K157" s="64">
        <v>46009</v>
      </c>
      <c r="L157" s="64">
        <v>46009</v>
      </c>
      <c r="M157" s="62">
        <v>46024</v>
      </c>
      <c r="N157" s="55">
        <v>47848</v>
      </c>
    </row>
    <row r="158" spans="1:14" s="3" customFormat="1" ht="24.95" customHeight="1">
      <c r="A158" s="84"/>
      <c r="B158" s="85" t="s">
        <v>346</v>
      </c>
      <c r="C158" s="76" t="s">
        <v>123</v>
      </c>
      <c r="D158" s="24" t="s">
        <v>347</v>
      </c>
      <c r="E158" s="96" t="s">
        <v>348</v>
      </c>
      <c r="F158" s="46" t="s">
        <v>20</v>
      </c>
      <c r="G158" s="48">
        <v>24105</v>
      </c>
      <c r="H158" s="73" t="s">
        <v>261</v>
      </c>
      <c r="I158" s="63" t="s">
        <v>22</v>
      </c>
      <c r="J158" s="26" t="s">
        <v>62</v>
      </c>
      <c r="K158" s="64">
        <v>34703</v>
      </c>
      <c r="L158" s="64">
        <v>38719</v>
      </c>
      <c r="M158" s="65">
        <v>45108</v>
      </c>
      <c r="N158" s="65">
        <v>46934</v>
      </c>
    </row>
    <row r="159" spans="1:14" s="3" customFormat="1" ht="24.95" customHeight="1">
      <c r="A159" s="84"/>
      <c r="B159" s="507"/>
      <c r="C159" s="76" t="s">
        <v>123</v>
      </c>
      <c r="D159" s="24" t="s">
        <v>349</v>
      </c>
      <c r="E159" s="96" t="s">
        <v>350</v>
      </c>
      <c r="F159" s="46" t="s">
        <v>20</v>
      </c>
      <c r="G159" s="48">
        <v>25576</v>
      </c>
      <c r="H159" s="73" t="s">
        <v>261</v>
      </c>
      <c r="I159" s="63" t="s">
        <v>22</v>
      </c>
      <c r="J159" s="26" t="s">
        <v>62</v>
      </c>
      <c r="K159" s="64">
        <v>34703</v>
      </c>
      <c r="L159" s="64">
        <v>38719</v>
      </c>
      <c r="M159" s="65">
        <v>45108</v>
      </c>
      <c r="N159" s="65">
        <v>46934</v>
      </c>
    </row>
    <row r="160" spans="1:14" s="3" customFormat="1" ht="24.95" customHeight="1">
      <c r="A160" s="84">
        <v>1</v>
      </c>
      <c r="B160" s="508"/>
      <c r="C160" s="76" t="s">
        <v>123</v>
      </c>
      <c r="D160" s="24" t="s">
        <v>351</v>
      </c>
      <c r="E160" s="26" t="s">
        <v>352</v>
      </c>
      <c r="F160" s="46" t="s">
        <v>20</v>
      </c>
      <c r="G160" s="48">
        <v>30682</v>
      </c>
      <c r="H160" s="73" t="s">
        <v>261</v>
      </c>
      <c r="I160" s="63" t="s">
        <v>22</v>
      </c>
      <c r="J160" s="26" t="s">
        <v>62</v>
      </c>
      <c r="K160" s="64">
        <v>41337</v>
      </c>
      <c r="L160" s="64">
        <v>41337</v>
      </c>
      <c r="M160" s="65">
        <v>45108</v>
      </c>
      <c r="N160" s="65">
        <v>46934</v>
      </c>
    </row>
    <row r="161" spans="1:14" s="3" customFormat="1" ht="24.95" customHeight="1">
      <c r="A161" s="84">
        <v>2</v>
      </c>
      <c r="B161" s="85" t="s">
        <v>354</v>
      </c>
      <c r="C161" s="76" t="s">
        <v>279</v>
      </c>
      <c r="D161" s="24" t="s">
        <v>355</v>
      </c>
      <c r="E161" s="96" t="s">
        <v>356</v>
      </c>
      <c r="F161" s="46" t="s">
        <v>20</v>
      </c>
      <c r="G161" s="48">
        <v>25210</v>
      </c>
      <c r="H161" s="73" t="s">
        <v>261</v>
      </c>
      <c r="I161" s="63" t="s">
        <v>22</v>
      </c>
      <c r="J161" s="26" t="s">
        <v>70</v>
      </c>
      <c r="K161" s="64">
        <v>35877</v>
      </c>
      <c r="L161" s="64">
        <v>42795</v>
      </c>
      <c r="M161" s="65">
        <v>45108</v>
      </c>
      <c r="N161" s="65">
        <v>46934</v>
      </c>
    </row>
    <row r="162" spans="1:14" s="3" customFormat="1" ht="24.95" customHeight="1">
      <c r="A162" s="84">
        <v>3</v>
      </c>
      <c r="B162" s="85" t="s">
        <v>357</v>
      </c>
      <c r="C162" s="76" t="s">
        <v>287</v>
      </c>
      <c r="D162" s="24" t="s">
        <v>358</v>
      </c>
      <c r="E162" s="26" t="s">
        <v>359</v>
      </c>
      <c r="F162" s="46" t="s">
        <v>20</v>
      </c>
      <c r="G162" s="48">
        <v>33421</v>
      </c>
      <c r="H162" s="73" t="s">
        <v>261</v>
      </c>
      <c r="I162" s="63" t="s">
        <v>22</v>
      </c>
      <c r="J162" s="26" t="s">
        <v>70</v>
      </c>
      <c r="K162" s="64">
        <v>42278</v>
      </c>
      <c r="L162" s="64">
        <v>42278</v>
      </c>
      <c r="M162" s="65">
        <v>45474</v>
      </c>
      <c r="N162" s="65">
        <v>47299</v>
      </c>
    </row>
    <row r="163" spans="1:14" s="3" customFormat="1" ht="24.95" customHeight="1">
      <c r="A163" s="84">
        <v>3</v>
      </c>
      <c r="B163" s="83" t="s">
        <v>1789</v>
      </c>
      <c r="C163" s="8"/>
      <c r="D163" s="8"/>
    </row>
    <row r="164" spans="1:14" s="3" customFormat="1" ht="24.95" customHeight="1">
      <c r="A164" s="84"/>
      <c r="B164" s="77" t="s">
        <v>363</v>
      </c>
      <c r="C164" s="77"/>
      <c r="D164" s="24" t="s">
        <v>52</v>
      </c>
      <c r="E164" s="49"/>
      <c r="F164" s="46"/>
      <c r="G164" s="48"/>
      <c r="H164" s="73"/>
      <c r="I164" s="63"/>
      <c r="J164" s="26"/>
      <c r="K164" s="64"/>
      <c r="L164" s="64"/>
      <c r="M164" s="65"/>
      <c r="N164" s="65"/>
    </row>
    <row r="165" spans="1:14" ht="24.95" customHeight="1">
      <c r="A165" s="84">
        <f>A162+1</f>
        <v>4</v>
      </c>
      <c r="B165" s="77" t="s">
        <v>364</v>
      </c>
      <c r="C165" s="77"/>
      <c r="D165" s="27"/>
      <c r="E165" s="26"/>
      <c r="F165" s="43"/>
      <c r="G165" s="73"/>
      <c r="H165" s="52"/>
      <c r="I165" s="26"/>
      <c r="J165" s="53"/>
      <c r="K165" s="71"/>
      <c r="L165" s="55"/>
      <c r="M165" s="54"/>
      <c r="N165" s="56"/>
    </row>
    <row r="166" spans="1:14" ht="24.95" customHeight="1">
      <c r="A166" s="505"/>
      <c r="B166" s="76" t="s">
        <v>365</v>
      </c>
      <c r="C166" s="76" t="s">
        <v>55</v>
      </c>
      <c r="D166" s="76" t="s">
        <v>366</v>
      </c>
      <c r="E166" s="96" t="s">
        <v>367</v>
      </c>
      <c r="F166" s="46" t="s">
        <v>20</v>
      </c>
      <c r="G166" s="48">
        <v>28536</v>
      </c>
      <c r="H166" s="73" t="s">
        <v>261</v>
      </c>
      <c r="I166" s="63" t="s">
        <v>22</v>
      </c>
      <c r="J166" s="26" t="s">
        <v>23</v>
      </c>
      <c r="K166" s="64">
        <v>39566</v>
      </c>
      <c r="L166" s="64">
        <v>43832</v>
      </c>
      <c r="M166" s="214">
        <v>45779</v>
      </c>
      <c r="N166" s="214">
        <v>47118</v>
      </c>
    </row>
    <row r="167" spans="1:14" ht="24.95" customHeight="1">
      <c r="A167" s="505"/>
      <c r="B167" s="76" t="s">
        <v>204</v>
      </c>
      <c r="C167" s="120" t="s">
        <v>26</v>
      </c>
      <c r="D167" s="29" t="s">
        <v>368</v>
      </c>
      <c r="E167" s="89" t="s">
        <v>195</v>
      </c>
      <c r="F167" s="26" t="s">
        <v>20</v>
      </c>
      <c r="G167" s="48">
        <v>29937</v>
      </c>
      <c r="H167" s="73" t="s">
        <v>261</v>
      </c>
      <c r="I167" s="52" t="s">
        <v>22</v>
      </c>
      <c r="J167" s="26" t="s">
        <v>30</v>
      </c>
      <c r="K167" s="53">
        <v>38825</v>
      </c>
      <c r="L167" s="53">
        <v>45392</v>
      </c>
      <c r="M167" s="55">
        <v>45839</v>
      </c>
      <c r="N167" s="55">
        <v>47664</v>
      </c>
    </row>
    <row r="168" spans="1:14" ht="24.95" customHeight="1">
      <c r="A168" s="505"/>
      <c r="B168" s="76" t="s">
        <v>1808</v>
      </c>
      <c r="C168" s="120" t="s">
        <v>26</v>
      </c>
      <c r="D168" s="24" t="s">
        <v>369</v>
      </c>
      <c r="E168" s="46" t="s">
        <v>370</v>
      </c>
      <c r="F168" s="46" t="s">
        <v>20</v>
      </c>
      <c r="G168" s="48">
        <v>26076</v>
      </c>
      <c r="H168" s="73" t="s">
        <v>261</v>
      </c>
      <c r="I168" s="63" t="s">
        <v>22</v>
      </c>
      <c r="J168" s="26" t="s">
        <v>30</v>
      </c>
      <c r="K168" s="64">
        <v>39598</v>
      </c>
      <c r="L168" s="64">
        <v>45595</v>
      </c>
      <c r="M168" s="62">
        <v>45108</v>
      </c>
      <c r="N168" s="62">
        <v>46934</v>
      </c>
    </row>
    <row r="169" spans="1:14" ht="24.95" customHeight="1">
      <c r="A169" s="84" t="e">
        <f>#REF!+1</f>
        <v>#REF!</v>
      </c>
      <c r="B169" s="76" t="s">
        <v>189</v>
      </c>
      <c r="C169" s="27" t="s">
        <v>26</v>
      </c>
      <c r="D169" s="84" t="s">
        <v>873</v>
      </c>
      <c r="E169" s="26" t="s">
        <v>874</v>
      </c>
      <c r="F169" s="46" t="s">
        <v>20</v>
      </c>
      <c r="G169" s="48">
        <v>27644</v>
      </c>
      <c r="H169" s="73" t="s">
        <v>261</v>
      </c>
      <c r="I169" s="63" t="s">
        <v>22</v>
      </c>
      <c r="J169" s="26" t="s">
        <v>30</v>
      </c>
      <c r="K169" s="64">
        <v>40301</v>
      </c>
      <c r="L169" s="64">
        <v>45839</v>
      </c>
      <c r="M169" s="286">
        <v>45078</v>
      </c>
      <c r="N169" s="55">
        <v>46934</v>
      </c>
    </row>
    <row r="170" spans="1:14" ht="24.95" customHeight="1">
      <c r="A170" s="84" t="e">
        <f>A169+1</f>
        <v>#REF!</v>
      </c>
      <c r="B170" s="76" t="s">
        <v>74</v>
      </c>
      <c r="C170" s="120" t="s">
        <v>35</v>
      </c>
      <c r="D170" s="24" t="s">
        <v>1378</v>
      </c>
      <c r="E170" s="26" t="s">
        <v>1379</v>
      </c>
      <c r="F170" s="46" t="s">
        <v>29</v>
      </c>
      <c r="G170" s="48">
        <v>28635</v>
      </c>
      <c r="H170" s="73" t="s">
        <v>261</v>
      </c>
      <c r="I170" s="63" t="s">
        <v>22</v>
      </c>
      <c r="J170" s="26" t="s">
        <v>30</v>
      </c>
      <c r="K170" s="64">
        <v>39426</v>
      </c>
      <c r="L170" s="64">
        <v>45595</v>
      </c>
      <c r="M170" s="286">
        <v>45078</v>
      </c>
      <c r="N170" s="55">
        <v>46934</v>
      </c>
    </row>
    <row r="171" spans="1:14" ht="24.95" customHeight="1">
      <c r="A171" s="84"/>
      <c r="B171" s="76" t="s">
        <v>1809</v>
      </c>
      <c r="C171" s="120" t="s">
        <v>39</v>
      </c>
      <c r="D171" s="24" t="s">
        <v>375</v>
      </c>
      <c r="E171" s="49" t="s">
        <v>376</v>
      </c>
      <c r="F171" s="46" t="s">
        <v>29</v>
      </c>
      <c r="G171" s="48">
        <v>27488</v>
      </c>
      <c r="H171" s="73" t="s">
        <v>261</v>
      </c>
      <c r="I171" s="63" t="s">
        <v>22</v>
      </c>
      <c r="J171" s="26" t="s">
        <v>30</v>
      </c>
      <c r="K171" s="64">
        <v>43181</v>
      </c>
      <c r="L171" s="64">
        <v>43181</v>
      </c>
      <c r="M171" s="65">
        <v>45108</v>
      </c>
      <c r="N171" s="65">
        <v>46934</v>
      </c>
    </row>
    <row r="172" spans="1:14" ht="24.95" customHeight="1">
      <c r="A172" s="84"/>
      <c r="B172" s="24" t="s">
        <v>173</v>
      </c>
      <c r="C172" s="27" t="s">
        <v>67</v>
      </c>
      <c r="D172" s="24" t="s">
        <v>174</v>
      </c>
      <c r="E172" s="26" t="s">
        <v>175</v>
      </c>
      <c r="F172" s="26" t="s">
        <v>20</v>
      </c>
      <c r="G172" s="43">
        <v>30806</v>
      </c>
      <c r="H172" s="73" t="s">
        <v>261</v>
      </c>
      <c r="I172" s="52" t="s">
        <v>22</v>
      </c>
      <c r="J172" s="26" t="s">
        <v>30</v>
      </c>
      <c r="K172" s="53">
        <v>40931</v>
      </c>
      <c r="L172" s="53">
        <v>44593</v>
      </c>
      <c r="M172" s="55">
        <v>45108</v>
      </c>
      <c r="N172" s="55">
        <v>46934</v>
      </c>
    </row>
    <row r="173" spans="1:14" ht="24.95" customHeight="1">
      <c r="A173" s="84">
        <v>1</v>
      </c>
      <c r="B173" s="76" t="s">
        <v>377</v>
      </c>
      <c r="C173" s="27" t="s">
        <v>35</v>
      </c>
      <c r="D173" s="24" t="s">
        <v>378</v>
      </c>
      <c r="E173" s="26" t="s">
        <v>379</v>
      </c>
      <c r="F173" s="26" t="s">
        <v>29</v>
      </c>
      <c r="G173" s="43">
        <v>26769</v>
      </c>
      <c r="H173" s="73" t="s">
        <v>261</v>
      </c>
      <c r="I173" s="52" t="s">
        <v>22</v>
      </c>
      <c r="J173" s="26" t="s">
        <v>30</v>
      </c>
      <c r="K173" s="53">
        <v>35690</v>
      </c>
      <c r="L173" s="71">
        <v>42011</v>
      </c>
      <c r="M173" s="55">
        <v>45474</v>
      </c>
      <c r="N173" s="54">
        <v>47299</v>
      </c>
    </row>
    <row r="174" spans="1:14" ht="24.95" customHeight="1">
      <c r="A174" s="84">
        <v>2</v>
      </c>
      <c r="B174" s="76"/>
      <c r="C174" s="27" t="s">
        <v>35</v>
      </c>
      <c r="D174" s="24" t="s">
        <v>206</v>
      </c>
      <c r="E174" s="26" t="s">
        <v>207</v>
      </c>
      <c r="F174" s="26" t="s">
        <v>20</v>
      </c>
      <c r="G174" s="43">
        <v>25670</v>
      </c>
      <c r="H174" s="73" t="s">
        <v>261</v>
      </c>
      <c r="I174" s="52" t="s">
        <v>22</v>
      </c>
      <c r="J174" s="26" t="s">
        <v>30</v>
      </c>
      <c r="K174" s="53">
        <v>35709</v>
      </c>
      <c r="L174" s="53">
        <v>39173</v>
      </c>
      <c r="M174" s="55">
        <v>45108</v>
      </c>
      <c r="N174" s="55">
        <v>46934</v>
      </c>
    </row>
    <row r="175" spans="1:14" ht="24.95" customHeight="1">
      <c r="A175" s="84"/>
      <c r="B175" s="76" t="s">
        <v>212</v>
      </c>
      <c r="C175" s="120" t="s">
        <v>39</v>
      </c>
      <c r="D175" s="41" t="s">
        <v>380</v>
      </c>
      <c r="E175" s="262" t="s">
        <v>381</v>
      </c>
      <c r="F175" s="26" t="s">
        <v>29</v>
      </c>
      <c r="G175" s="43">
        <v>33591</v>
      </c>
      <c r="H175" s="73" t="s">
        <v>261</v>
      </c>
      <c r="I175" s="52" t="s">
        <v>22</v>
      </c>
      <c r="J175" s="26" t="s">
        <v>30</v>
      </c>
      <c r="K175" s="53">
        <v>43647</v>
      </c>
      <c r="L175" s="64">
        <v>45392</v>
      </c>
      <c r="M175" s="286">
        <v>45474</v>
      </c>
      <c r="N175" s="55">
        <v>47299</v>
      </c>
    </row>
    <row r="176" spans="1:14" ht="24.95" customHeight="1">
      <c r="A176" s="84">
        <v>3</v>
      </c>
      <c r="B176" s="76" t="s">
        <v>38</v>
      </c>
      <c r="C176" s="120" t="s">
        <v>39</v>
      </c>
      <c r="D176" s="24" t="s">
        <v>384</v>
      </c>
      <c r="E176" s="96" t="s">
        <v>385</v>
      </c>
      <c r="F176" s="46" t="s">
        <v>29</v>
      </c>
      <c r="G176" s="48">
        <v>27514</v>
      </c>
      <c r="H176" s="73" t="s">
        <v>261</v>
      </c>
      <c r="I176" s="63" t="s">
        <v>22</v>
      </c>
      <c r="J176" s="26" t="s">
        <v>30</v>
      </c>
      <c r="K176" s="64">
        <v>37292</v>
      </c>
      <c r="L176" s="64">
        <v>45278</v>
      </c>
      <c r="M176" s="65">
        <v>45108</v>
      </c>
      <c r="N176" s="65">
        <v>46934</v>
      </c>
    </row>
    <row r="177" spans="1:14" ht="24.95" customHeight="1">
      <c r="A177" s="84"/>
      <c r="B177" s="76" t="s">
        <v>40</v>
      </c>
      <c r="C177" s="120" t="s">
        <v>41</v>
      </c>
      <c r="D177" s="24" t="s">
        <v>386</v>
      </c>
      <c r="E177" s="96" t="s">
        <v>387</v>
      </c>
      <c r="F177" s="46" t="s">
        <v>29</v>
      </c>
      <c r="G177" s="48">
        <v>27148</v>
      </c>
      <c r="H177" s="73" t="s">
        <v>261</v>
      </c>
      <c r="I177" s="63" t="s">
        <v>22</v>
      </c>
      <c r="J177" s="26" t="s">
        <v>30</v>
      </c>
      <c r="K177" s="64">
        <v>37292</v>
      </c>
      <c r="L177" s="64">
        <v>42795</v>
      </c>
      <c r="M177" s="65">
        <v>45108</v>
      </c>
      <c r="N177" s="65">
        <v>46934</v>
      </c>
    </row>
    <row r="178" spans="1:14" ht="24.95" customHeight="1">
      <c r="A178" s="84"/>
      <c r="B178" s="76"/>
      <c r="C178" s="120" t="s">
        <v>41</v>
      </c>
      <c r="D178" s="24" t="s">
        <v>388</v>
      </c>
      <c r="E178" s="26" t="s">
        <v>389</v>
      </c>
      <c r="F178" s="46" t="s">
        <v>29</v>
      </c>
      <c r="G178" s="48">
        <v>28788</v>
      </c>
      <c r="H178" s="73" t="s">
        <v>261</v>
      </c>
      <c r="I178" s="63" t="s">
        <v>22</v>
      </c>
      <c r="J178" s="26" t="s">
        <v>30</v>
      </c>
      <c r="K178" s="64">
        <v>37686</v>
      </c>
      <c r="L178" s="64">
        <v>42795</v>
      </c>
      <c r="M178" s="65">
        <v>45108</v>
      </c>
      <c r="N178" s="65">
        <v>46934</v>
      </c>
    </row>
    <row r="179" spans="1:14" s="4" customFormat="1" ht="24.95" customHeight="1">
      <c r="A179" s="84">
        <f>A176+1</f>
        <v>4</v>
      </c>
      <c r="B179" s="121" t="s">
        <v>390</v>
      </c>
      <c r="C179" s="120" t="s">
        <v>41</v>
      </c>
      <c r="D179" s="24" t="s">
        <v>391</v>
      </c>
      <c r="E179" s="46" t="s">
        <v>392</v>
      </c>
      <c r="F179" s="46" t="s">
        <v>29</v>
      </c>
      <c r="G179" s="48">
        <v>30427</v>
      </c>
      <c r="H179" s="73" t="s">
        <v>261</v>
      </c>
      <c r="I179" s="63" t="s">
        <v>22</v>
      </c>
      <c r="J179" s="26" t="s">
        <v>30</v>
      </c>
      <c r="K179" s="64">
        <v>40759</v>
      </c>
      <c r="L179" s="64">
        <v>40759</v>
      </c>
      <c r="M179" s="65">
        <v>45278</v>
      </c>
      <c r="N179" s="65">
        <v>46934</v>
      </c>
    </row>
    <row r="180" spans="1:14" ht="24.95" customHeight="1">
      <c r="A180" s="505"/>
      <c r="B180" s="35" t="s">
        <v>393</v>
      </c>
      <c r="C180" s="120" t="s">
        <v>85</v>
      </c>
      <c r="D180" s="24" t="s">
        <v>394</v>
      </c>
      <c r="E180" s="26" t="s">
        <v>395</v>
      </c>
      <c r="F180" s="46" t="s">
        <v>20</v>
      </c>
      <c r="G180" s="48">
        <v>27030</v>
      </c>
      <c r="H180" s="73" t="s">
        <v>261</v>
      </c>
      <c r="I180" s="63" t="s">
        <v>22</v>
      </c>
      <c r="J180" s="26" t="s">
        <v>30</v>
      </c>
      <c r="K180" s="64">
        <v>42377</v>
      </c>
      <c r="L180" s="64">
        <v>42377</v>
      </c>
      <c r="M180" s="65">
        <v>45839</v>
      </c>
      <c r="N180" s="65">
        <v>11139</v>
      </c>
    </row>
    <row r="181" spans="1:14" s="7" customFormat="1" ht="24.95" customHeight="1">
      <c r="A181" s="505"/>
      <c r="B181" s="76" t="s">
        <v>226</v>
      </c>
      <c r="C181" s="120" t="s">
        <v>85</v>
      </c>
      <c r="D181" s="24" t="s">
        <v>396</v>
      </c>
      <c r="E181" s="107" t="s">
        <v>397</v>
      </c>
      <c r="F181" s="46" t="s">
        <v>29</v>
      </c>
      <c r="G181" s="48">
        <v>30234</v>
      </c>
      <c r="H181" s="73" t="s">
        <v>261</v>
      </c>
      <c r="I181" s="63" t="s">
        <v>22</v>
      </c>
      <c r="J181" s="26" t="s">
        <v>30</v>
      </c>
      <c r="K181" s="64">
        <v>39664</v>
      </c>
      <c r="L181" s="64">
        <v>39664</v>
      </c>
      <c r="M181" s="65">
        <v>45108</v>
      </c>
      <c r="N181" s="65">
        <v>46934</v>
      </c>
    </row>
    <row r="182" spans="1:14" ht="24.95" customHeight="1">
      <c r="A182" s="84">
        <v>5</v>
      </c>
      <c r="B182" s="8"/>
      <c r="C182" s="120" t="s">
        <v>85</v>
      </c>
      <c r="D182" s="24" t="s">
        <v>398</v>
      </c>
      <c r="E182" s="26" t="s">
        <v>399</v>
      </c>
      <c r="F182" s="46" t="s">
        <v>29</v>
      </c>
      <c r="G182" s="48">
        <v>31192</v>
      </c>
      <c r="H182" s="73" t="s">
        <v>261</v>
      </c>
      <c r="I182" s="63" t="s">
        <v>22</v>
      </c>
      <c r="J182" s="26" t="s">
        <v>30</v>
      </c>
      <c r="K182" s="64">
        <v>41529</v>
      </c>
      <c r="L182" s="64">
        <v>41529</v>
      </c>
      <c r="M182" s="65">
        <v>45108</v>
      </c>
      <c r="N182" s="65">
        <v>46934</v>
      </c>
    </row>
    <row r="183" spans="1:14" ht="24.95" customHeight="1">
      <c r="A183" s="84">
        <v>6</v>
      </c>
      <c r="B183" s="76" t="s">
        <v>1810</v>
      </c>
      <c r="C183" s="120" t="s">
        <v>85</v>
      </c>
      <c r="D183" s="28" t="s">
        <v>400</v>
      </c>
      <c r="E183" s="96" t="s">
        <v>401</v>
      </c>
      <c r="F183" s="46" t="s">
        <v>29</v>
      </c>
      <c r="G183" s="48">
        <v>35610</v>
      </c>
      <c r="H183" s="73" t="s">
        <v>261</v>
      </c>
      <c r="I183" s="63" t="s">
        <v>22</v>
      </c>
      <c r="J183" s="26" t="s">
        <v>30</v>
      </c>
      <c r="K183" s="64">
        <v>45414</v>
      </c>
      <c r="L183" s="64">
        <v>45414</v>
      </c>
      <c r="M183" s="64">
        <v>45414</v>
      </c>
      <c r="N183" s="65">
        <v>47239</v>
      </c>
    </row>
    <row r="184" spans="1:14" ht="24.95" customHeight="1">
      <c r="A184" s="84"/>
      <c r="B184" s="76" t="s">
        <v>44</v>
      </c>
      <c r="C184" s="120" t="s">
        <v>45</v>
      </c>
      <c r="D184" s="24" t="s">
        <v>402</v>
      </c>
      <c r="E184" s="26" t="s">
        <v>403</v>
      </c>
      <c r="F184" s="46" t="s">
        <v>20</v>
      </c>
      <c r="G184" s="48">
        <v>26895</v>
      </c>
      <c r="H184" s="73" t="s">
        <v>261</v>
      </c>
      <c r="I184" s="63" t="s">
        <v>22</v>
      </c>
      <c r="J184" s="26" t="s">
        <v>50</v>
      </c>
      <c r="K184" s="64">
        <v>42317</v>
      </c>
      <c r="L184" s="64">
        <v>42317</v>
      </c>
      <c r="M184" s="65">
        <v>45474</v>
      </c>
      <c r="N184" s="65">
        <v>47299</v>
      </c>
    </row>
    <row r="185" spans="1:14" ht="24.95" customHeight="1">
      <c r="A185" s="103"/>
      <c r="B185" s="76"/>
      <c r="C185" s="120" t="s">
        <v>45</v>
      </c>
      <c r="D185" s="24" t="s">
        <v>404</v>
      </c>
      <c r="E185" s="96" t="s">
        <v>405</v>
      </c>
      <c r="F185" s="46" t="s">
        <v>20</v>
      </c>
      <c r="G185" s="48">
        <v>27618</v>
      </c>
      <c r="H185" s="73" t="s">
        <v>261</v>
      </c>
      <c r="I185" s="63" t="s">
        <v>22</v>
      </c>
      <c r="J185" s="26" t="s">
        <v>50</v>
      </c>
      <c r="K185" s="64">
        <v>36589</v>
      </c>
      <c r="L185" s="64">
        <v>36589</v>
      </c>
      <c r="M185" s="65">
        <v>45108</v>
      </c>
      <c r="N185" s="65">
        <v>46934</v>
      </c>
    </row>
    <row r="186" spans="1:14" ht="24.95" customHeight="1">
      <c r="A186" s="84"/>
      <c r="B186" s="76"/>
      <c r="C186" s="120" t="s">
        <v>45</v>
      </c>
      <c r="D186" s="24" t="s">
        <v>406</v>
      </c>
      <c r="E186" s="96" t="s">
        <v>407</v>
      </c>
      <c r="F186" s="46" t="s">
        <v>20</v>
      </c>
      <c r="G186" s="48">
        <v>25759</v>
      </c>
      <c r="H186" s="73" t="s">
        <v>261</v>
      </c>
      <c r="I186" s="63" t="s">
        <v>22</v>
      </c>
      <c r="J186" s="26" t="s">
        <v>50</v>
      </c>
      <c r="K186" s="64">
        <v>40163</v>
      </c>
      <c r="L186" s="64">
        <v>40163</v>
      </c>
      <c r="M186" s="65">
        <v>45108</v>
      </c>
      <c r="N186" s="65">
        <v>46934</v>
      </c>
    </row>
    <row r="187" spans="1:14" ht="24.95" customHeight="1">
      <c r="A187" s="84">
        <v>1</v>
      </c>
      <c r="B187" s="76"/>
      <c r="C187" s="120" t="s">
        <v>45</v>
      </c>
      <c r="D187" s="24" t="s">
        <v>408</v>
      </c>
      <c r="E187" s="96" t="s">
        <v>409</v>
      </c>
      <c r="F187" s="46" t="s">
        <v>20</v>
      </c>
      <c r="G187" s="48">
        <v>25934</v>
      </c>
      <c r="H187" s="73" t="s">
        <v>261</v>
      </c>
      <c r="I187" s="63" t="s">
        <v>22</v>
      </c>
      <c r="J187" s="26" t="s">
        <v>50</v>
      </c>
      <c r="K187" s="64">
        <v>36620</v>
      </c>
      <c r="L187" s="64">
        <v>36620</v>
      </c>
      <c r="M187" s="65">
        <v>45108</v>
      </c>
      <c r="N187" s="65">
        <v>46934</v>
      </c>
    </row>
    <row r="188" spans="1:14" ht="24.95" customHeight="1">
      <c r="A188" s="84">
        <f>A187+1</f>
        <v>2</v>
      </c>
      <c r="B188" s="76"/>
      <c r="C188" s="120" t="s">
        <v>45</v>
      </c>
      <c r="D188" s="24" t="s">
        <v>410</v>
      </c>
      <c r="E188" s="96" t="s">
        <v>411</v>
      </c>
      <c r="F188" s="46" t="s">
        <v>20</v>
      </c>
      <c r="G188" s="48">
        <v>25518</v>
      </c>
      <c r="H188" s="73" t="s">
        <v>261</v>
      </c>
      <c r="I188" s="63" t="s">
        <v>22</v>
      </c>
      <c r="J188" s="26" t="s">
        <v>50</v>
      </c>
      <c r="K188" s="64">
        <v>34429</v>
      </c>
      <c r="L188" s="64">
        <v>34429</v>
      </c>
      <c r="M188" s="65">
        <v>45108</v>
      </c>
      <c r="N188" s="65">
        <v>46934</v>
      </c>
    </row>
    <row r="189" spans="1:14" ht="24.95" customHeight="1">
      <c r="A189" s="84">
        <f>A188+1</f>
        <v>3</v>
      </c>
      <c r="B189" s="76"/>
      <c r="C189" s="120" t="s">
        <v>45</v>
      </c>
      <c r="D189" s="24" t="s">
        <v>412</v>
      </c>
      <c r="E189" s="96" t="s">
        <v>413</v>
      </c>
      <c r="F189" s="46" t="s">
        <v>20</v>
      </c>
      <c r="G189" s="48">
        <v>24617</v>
      </c>
      <c r="H189" s="73" t="s">
        <v>261</v>
      </c>
      <c r="I189" s="63" t="s">
        <v>22</v>
      </c>
      <c r="J189" s="26" t="s">
        <v>50</v>
      </c>
      <c r="K189" s="64">
        <v>34429</v>
      </c>
      <c r="L189" s="64">
        <v>34429</v>
      </c>
      <c r="M189" s="65">
        <v>45108</v>
      </c>
      <c r="N189" s="65">
        <v>46655</v>
      </c>
    </row>
    <row r="190" spans="1:14" ht="24.95" customHeight="1">
      <c r="A190" s="76">
        <v>4</v>
      </c>
      <c r="B190" s="76"/>
      <c r="C190" s="120" t="s">
        <v>45</v>
      </c>
      <c r="D190" s="24" t="s">
        <v>414</v>
      </c>
      <c r="E190" s="26" t="s">
        <v>415</v>
      </c>
      <c r="F190" s="26" t="s">
        <v>20</v>
      </c>
      <c r="G190" s="43">
        <v>25235</v>
      </c>
      <c r="H190" s="73" t="s">
        <v>261</v>
      </c>
      <c r="I190" s="52" t="s">
        <v>22</v>
      </c>
      <c r="J190" s="26" t="s">
        <v>50</v>
      </c>
      <c r="K190" s="53">
        <v>43686</v>
      </c>
      <c r="L190" s="53">
        <v>43686</v>
      </c>
      <c r="M190" s="55">
        <v>45108</v>
      </c>
      <c r="N190" s="55">
        <v>46934</v>
      </c>
    </row>
    <row r="191" spans="1:14" ht="24.95" customHeight="1">
      <c r="A191" s="84">
        <v>5</v>
      </c>
      <c r="B191" s="76" t="s">
        <v>100</v>
      </c>
      <c r="C191" s="120" t="s">
        <v>47</v>
      </c>
      <c r="D191" s="24" t="s">
        <v>416</v>
      </c>
      <c r="E191" s="262" t="s">
        <v>417</v>
      </c>
      <c r="F191" s="46" t="s">
        <v>20</v>
      </c>
      <c r="G191" s="48">
        <v>25843</v>
      </c>
      <c r="H191" s="73" t="s">
        <v>261</v>
      </c>
      <c r="I191" s="63" t="s">
        <v>22</v>
      </c>
      <c r="J191" s="26" t="s">
        <v>50</v>
      </c>
      <c r="K191" s="64">
        <v>38709</v>
      </c>
      <c r="L191" s="64">
        <v>38709</v>
      </c>
      <c r="M191" s="65">
        <v>45108</v>
      </c>
      <c r="N191" s="65">
        <v>46934</v>
      </c>
    </row>
    <row r="192" spans="1:14" ht="24.95" customHeight="1">
      <c r="A192" s="84"/>
      <c r="B192" s="76"/>
      <c r="C192" s="120" t="s">
        <v>47</v>
      </c>
      <c r="D192" s="24" t="s">
        <v>418</v>
      </c>
      <c r="E192" s="26" t="s">
        <v>419</v>
      </c>
      <c r="F192" s="46" t="s">
        <v>20</v>
      </c>
      <c r="G192" s="48">
        <v>26263</v>
      </c>
      <c r="H192" s="73" t="s">
        <v>261</v>
      </c>
      <c r="I192" s="63" t="s">
        <v>22</v>
      </c>
      <c r="J192" s="26" t="s">
        <v>50</v>
      </c>
      <c r="K192" s="64">
        <v>39580</v>
      </c>
      <c r="L192" s="64">
        <v>39580</v>
      </c>
      <c r="M192" s="65">
        <v>45108</v>
      </c>
      <c r="N192" s="65">
        <v>46934</v>
      </c>
    </row>
    <row r="193" spans="1:14" ht="24.95" customHeight="1">
      <c r="A193" s="24">
        <v>7</v>
      </c>
      <c r="B193" s="76"/>
      <c r="C193" s="120" t="s">
        <v>47</v>
      </c>
      <c r="D193" s="24" t="s">
        <v>420</v>
      </c>
      <c r="E193" s="262" t="s">
        <v>421</v>
      </c>
      <c r="F193" s="46" t="s">
        <v>20</v>
      </c>
      <c r="G193" s="48">
        <v>30728</v>
      </c>
      <c r="H193" s="73" t="s">
        <v>261</v>
      </c>
      <c r="I193" s="63" t="s">
        <v>22</v>
      </c>
      <c r="J193" s="26" t="s">
        <v>50</v>
      </c>
      <c r="K193" s="64">
        <v>43294</v>
      </c>
      <c r="L193" s="64">
        <v>43294</v>
      </c>
      <c r="M193" s="65">
        <v>45108</v>
      </c>
      <c r="N193" s="65">
        <v>46934</v>
      </c>
    </row>
    <row r="194" spans="1:14" ht="24.95" customHeight="1">
      <c r="A194" s="485"/>
      <c r="B194" s="76"/>
      <c r="C194" s="120" t="s">
        <v>47</v>
      </c>
      <c r="D194" s="24" t="s">
        <v>422</v>
      </c>
      <c r="E194" s="49" t="s">
        <v>423</v>
      </c>
      <c r="F194" s="46" t="s">
        <v>20</v>
      </c>
      <c r="G194" s="48">
        <v>30749</v>
      </c>
      <c r="H194" s="73" t="s">
        <v>261</v>
      </c>
      <c r="I194" s="63" t="s">
        <v>22</v>
      </c>
      <c r="J194" s="26" t="s">
        <v>50</v>
      </c>
      <c r="K194" s="64">
        <v>45420</v>
      </c>
      <c r="L194" s="64">
        <v>45420</v>
      </c>
      <c r="M194" s="64">
        <v>45420</v>
      </c>
      <c r="N194" s="65">
        <v>47245</v>
      </c>
    </row>
    <row r="195" spans="1:14" s="3" customFormat="1" ht="24.95" customHeight="1">
      <c r="A195" s="485"/>
      <c r="B195" s="122" t="s">
        <v>424</v>
      </c>
      <c r="C195" s="123"/>
      <c r="D195" s="124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 s="3" customFormat="1" ht="24.95" customHeight="1">
      <c r="A196" s="84">
        <v>8</v>
      </c>
      <c r="B196" s="122" t="s">
        <v>425</v>
      </c>
      <c r="C196" s="125"/>
      <c r="D196" s="296"/>
      <c r="E196" s="126"/>
      <c r="F196" s="126"/>
      <c r="G196" s="133"/>
      <c r="H196" s="137"/>
      <c r="I196" s="126"/>
      <c r="J196" s="126"/>
      <c r="K196" s="138"/>
      <c r="L196" s="138"/>
      <c r="M196" s="139"/>
      <c r="N196" s="139"/>
    </row>
    <row r="197" spans="1:14" s="3" customFormat="1" ht="24.95" customHeight="1">
      <c r="A197" s="84">
        <v>11</v>
      </c>
      <c r="B197" s="137" t="s">
        <v>426</v>
      </c>
      <c r="C197" s="125"/>
      <c r="D197" s="122" t="s">
        <v>52</v>
      </c>
      <c r="E197" s="126"/>
      <c r="F197" s="126"/>
      <c r="G197" s="133"/>
      <c r="H197" s="137"/>
      <c r="I197" s="126"/>
      <c r="J197" s="126"/>
      <c r="K197" s="138"/>
      <c r="L197" s="138"/>
      <c r="M197" s="139"/>
      <c r="N197" s="139"/>
    </row>
    <row r="198" spans="1:14" s="3" customFormat="1" ht="24.95" customHeight="1">
      <c r="A198" s="84">
        <v>12</v>
      </c>
      <c r="B198" s="31" t="s">
        <v>1786</v>
      </c>
      <c r="C198" s="128"/>
      <c r="D198" s="24" t="s">
        <v>52</v>
      </c>
      <c r="E198" s="49"/>
      <c r="F198" s="26"/>
      <c r="G198" s="43"/>
      <c r="H198" s="51"/>
      <c r="I198" s="52"/>
      <c r="J198" s="26"/>
      <c r="K198" s="53"/>
      <c r="L198" s="53"/>
      <c r="M198" s="140"/>
      <c r="N198" s="140"/>
    </row>
    <row r="199" spans="1:14" s="3" customFormat="1" ht="24.95" customHeight="1">
      <c r="A199" s="84"/>
      <c r="B199" s="28" t="s">
        <v>258</v>
      </c>
      <c r="C199" s="27" t="s">
        <v>109</v>
      </c>
      <c r="D199" s="24" t="s">
        <v>430</v>
      </c>
      <c r="E199" s="46" t="s">
        <v>431</v>
      </c>
      <c r="F199" s="46" t="s">
        <v>20</v>
      </c>
      <c r="G199" s="48">
        <v>26569</v>
      </c>
      <c r="H199" s="73" t="s">
        <v>428</v>
      </c>
      <c r="I199" s="63" t="s">
        <v>22</v>
      </c>
      <c r="J199" s="26" t="s">
        <v>23</v>
      </c>
      <c r="K199" s="64">
        <v>38719</v>
      </c>
      <c r="L199" s="64">
        <v>45490</v>
      </c>
      <c r="M199" s="98">
        <v>45505</v>
      </c>
      <c r="N199" s="98">
        <v>47330</v>
      </c>
    </row>
    <row r="200" spans="1:14" s="3" customFormat="1" ht="24.95" customHeight="1">
      <c r="A200" s="101">
        <v>13</v>
      </c>
      <c r="B200" s="28" t="s">
        <v>262</v>
      </c>
      <c r="C200" s="24" t="s">
        <v>59</v>
      </c>
      <c r="D200" s="24" t="s">
        <v>1814</v>
      </c>
      <c r="E200" s="26" t="s">
        <v>432</v>
      </c>
      <c r="F200" s="46" t="s">
        <v>20</v>
      </c>
      <c r="G200" s="48">
        <v>29039</v>
      </c>
      <c r="H200" s="73" t="s">
        <v>428</v>
      </c>
      <c r="I200" s="63" t="s">
        <v>22</v>
      </c>
      <c r="J200" s="26" t="s">
        <v>62</v>
      </c>
      <c r="K200" s="64">
        <v>39631</v>
      </c>
      <c r="L200" s="64">
        <v>44743</v>
      </c>
      <c r="M200" s="62">
        <v>45108</v>
      </c>
      <c r="N200" s="62">
        <v>46934</v>
      </c>
    </row>
    <row r="201" spans="1:14" s="3" customFormat="1" ht="24.95" customHeight="1">
      <c r="A201" s="84">
        <v>15</v>
      </c>
      <c r="B201" s="28"/>
      <c r="C201" s="24" t="s">
        <v>59</v>
      </c>
      <c r="D201" s="84" t="s">
        <v>1972</v>
      </c>
      <c r="E201" s="107" t="s">
        <v>309</v>
      </c>
      <c r="F201" s="46" t="s">
        <v>20</v>
      </c>
      <c r="G201" s="48">
        <v>25861</v>
      </c>
      <c r="H201" s="73" t="s">
        <v>428</v>
      </c>
      <c r="I201" s="63" t="s">
        <v>22</v>
      </c>
      <c r="J201" s="26" t="s">
        <v>62</v>
      </c>
      <c r="K201" s="64">
        <v>38720</v>
      </c>
      <c r="L201" s="64">
        <v>41487</v>
      </c>
      <c r="M201" s="65">
        <v>45139</v>
      </c>
      <c r="N201" s="65">
        <v>46934</v>
      </c>
    </row>
    <row r="202" spans="1:14" s="3" customFormat="1" ht="24.95" customHeight="1">
      <c r="A202" s="84">
        <v>15</v>
      </c>
      <c r="B202" s="28" t="s">
        <v>263</v>
      </c>
      <c r="C202" s="24" t="s">
        <v>129</v>
      </c>
      <c r="D202" s="24" t="s">
        <v>433</v>
      </c>
      <c r="E202" s="26" t="s">
        <v>434</v>
      </c>
      <c r="F202" s="46" t="s">
        <v>20</v>
      </c>
      <c r="G202" s="48">
        <v>25599</v>
      </c>
      <c r="H202" s="73" t="s">
        <v>428</v>
      </c>
      <c r="I202" s="63" t="s">
        <v>22</v>
      </c>
      <c r="J202" s="26" t="s">
        <v>62</v>
      </c>
      <c r="K202" s="64">
        <v>39631</v>
      </c>
      <c r="L202" s="64">
        <v>44256</v>
      </c>
      <c r="M202" s="98">
        <v>45108</v>
      </c>
      <c r="N202" s="62">
        <v>46934</v>
      </c>
    </row>
    <row r="203" spans="1:14" s="3" customFormat="1" ht="24.95" customHeight="1">
      <c r="A203" s="84"/>
      <c r="B203" s="28"/>
      <c r="C203" s="24" t="s">
        <v>129</v>
      </c>
      <c r="D203" s="24" t="s">
        <v>435</v>
      </c>
      <c r="E203" s="26" t="s">
        <v>436</v>
      </c>
      <c r="F203" s="46" t="s">
        <v>20</v>
      </c>
      <c r="G203" s="48">
        <v>30922</v>
      </c>
      <c r="H203" s="73" t="s">
        <v>428</v>
      </c>
      <c r="I203" s="63" t="s">
        <v>22</v>
      </c>
      <c r="J203" s="26" t="s">
        <v>62</v>
      </c>
      <c r="K203" s="64">
        <v>44348</v>
      </c>
      <c r="L203" s="64">
        <v>44683</v>
      </c>
      <c r="M203" s="62">
        <v>45108</v>
      </c>
      <c r="N203" s="62">
        <v>46934</v>
      </c>
    </row>
    <row r="204" spans="1:14" s="3" customFormat="1" ht="24.95" customHeight="1">
      <c r="A204" s="84">
        <v>16</v>
      </c>
      <c r="B204" s="28"/>
      <c r="C204" s="24" t="s">
        <v>129</v>
      </c>
      <c r="D204" s="24" t="s">
        <v>310</v>
      </c>
      <c r="E204" s="26" t="s">
        <v>311</v>
      </c>
      <c r="F204" s="46" t="s">
        <v>20</v>
      </c>
      <c r="G204" s="48">
        <v>29577</v>
      </c>
      <c r="H204" s="73" t="s">
        <v>428</v>
      </c>
      <c r="I204" s="63" t="s">
        <v>22</v>
      </c>
      <c r="J204" s="26" t="s">
        <v>62</v>
      </c>
      <c r="K204" s="64">
        <v>41037</v>
      </c>
      <c r="L204" s="64">
        <v>44318</v>
      </c>
      <c r="M204" s="65">
        <v>45474</v>
      </c>
      <c r="N204" s="65">
        <v>47299</v>
      </c>
    </row>
    <row r="205" spans="1:14" s="3" customFormat="1" ht="24.95" customHeight="1">
      <c r="A205" s="84">
        <v>17</v>
      </c>
      <c r="B205" s="28"/>
      <c r="C205" s="24" t="s">
        <v>129</v>
      </c>
      <c r="D205" s="76" t="s">
        <v>486</v>
      </c>
      <c r="E205" s="35" t="s">
        <v>487</v>
      </c>
      <c r="F205" s="253" t="s">
        <v>20</v>
      </c>
      <c r="G205" s="255">
        <v>28923</v>
      </c>
      <c r="H205" s="141" t="s">
        <v>428</v>
      </c>
      <c r="I205" s="142" t="s">
        <v>22</v>
      </c>
      <c r="J205" s="143" t="s">
        <v>62</v>
      </c>
      <c r="K205" s="144">
        <v>45441</v>
      </c>
      <c r="L205" s="144">
        <v>45441</v>
      </c>
      <c r="M205" s="144">
        <v>45441</v>
      </c>
      <c r="N205" s="62">
        <v>47266</v>
      </c>
    </row>
    <row r="206" spans="1:14" s="3" customFormat="1" ht="24.95" customHeight="1">
      <c r="A206" s="84"/>
      <c r="B206" s="28"/>
      <c r="C206" s="24" t="s">
        <v>129</v>
      </c>
      <c r="D206" s="24" t="s">
        <v>324</v>
      </c>
      <c r="E206" s="49" t="s">
        <v>325</v>
      </c>
      <c r="F206" s="46" t="s">
        <v>20</v>
      </c>
      <c r="G206" s="48">
        <v>29287</v>
      </c>
      <c r="H206" s="73" t="s">
        <v>428</v>
      </c>
      <c r="I206" s="63" t="s">
        <v>22</v>
      </c>
      <c r="J206" s="26" t="s">
        <v>62</v>
      </c>
      <c r="K206" s="64">
        <v>45418</v>
      </c>
      <c r="L206" s="64">
        <v>45418</v>
      </c>
      <c r="M206" s="64">
        <v>45418</v>
      </c>
      <c r="N206" s="64">
        <v>47243</v>
      </c>
    </row>
    <row r="207" spans="1:14" s="3" customFormat="1" ht="24.95" customHeight="1">
      <c r="A207" s="84"/>
      <c r="B207" s="28" t="s">
        <v>268</v>
      </c>
      <c r="C207" s="24" t="s">
        <v>123</v>
      </c>
      <c r="D207" s="24" t="s">
        <v>437</v>
      </c>
      <c r="E207" s="262" t="s">
        <v>438</v>
      </c>
      <c r="F207" s="46" t="s">
        <v>20</v>
      </c>
      <c r="G207" s="48">
        <v>31701</v>
      </c>
      <c r="H207" s="73" t="s">
        <v>428</v>
      </c>
      <c r="I207" s="63" t="s">
        <v>22</v>
      </c>
      <c r="J207" s="26" t="s">
        <v>62</v>
      </c>
      <c r="K207" s="64">
        <v>45414</v>
      </c>
      <c r="L207" s="64">
        <v>45414</v>
      </c>
      <c r="M207" s="64">
        <v>45414</v>
      </c>
      <c r="N207" s="64">
        <v>47240</v>
      </c>
    </row>
    <row r="208" spans="1:14" s="3" customFormat="1" ht="24.95" customHeight="1">
      <c r="A208" s="84"/>
      <c r="B208" s="28"/>
      <c r="C208" s="24" t="s">
        <v>123</v>
      </c>
      <c r="D208" s="465" t="s">
        <v>1870</v>
      </c>
      <c r="E208" s="262" t="s">
        <v>1871</v>
      </c>
      <c r="F208" s="46" t="s">
        <v>29</v>
      </c>
      <c r="G208" s="48">
        <v>32480</v>
      </c>
      <c r="H208" s="73" t="s">
        <v>428</v>
      </c>
      <c r="I208" s="63" t="s">
        <v>22</v>
      </c>
      <c r="J208" s="26" t="s">
        <v>62</v>
      </c>
      <c r="K208" s="64">
        <v>46086</v>
      </c>
      <c r="L208" s="64">
        <v>46086</v>
      </c>
      <c r="M208" s="64">
        <v>46094</v>
      </c>
      <c r="N208" s="64">
        <v>47919</v>
      </c>
    </row>
    <row r="209" spans="1:14" s="3" customFormat="1" ht="24.95" customHeight="1">
      <c r="A209" s="84"/>
      <c r="B209" s="28"/>
      <c r="C209" s="24"/>
      <c r="D209" s="465" t="s">
        <v>1889</v>
      </c>
      <c r="E209" s="262" t="s">
        <v>1890</v>
      </c>
      <c r="F209" s="46"/>
      <c r="G209" s="48">
        <v>31952</v>
      </c>
      <c r="H209" s="73" t="s">
        <v>428</v>
      </c>
      <c r="I209" s="63" t="s">
        <v>22</v>
      </c>
      <c r="J209" s="26" t="s">
        <v>62</v>
      </c>
      <c r="K209" s="64">
        <v>46086</v>
      </c>
      <c r="L209" s="64">
        <v>46086</v>
      </c>
      <c r="M209" s="64">
        <v>46119</v>
      </c>
      <c r="N209" s="64">
        <v>47945</v>
      </c>
    </row>
    <row r="210" spans="1:14" s="3" customFormat="1" ht="24.95" customHeight="1">
      <c r="A210" s="84"/>
      <c r="B210" s="28" t="s">
        <v>278</v>
      </c>
      <c r="C210" s="24" t="s">
        <v>279</v>
      </c>
      <c r="D210" s="28" t="s">
        <v>441</v>
      </c>
      <c r="E210" s="90" t="s">
        <v>442</v>
      </c>
      <c r="F210" s="26" t="s">
        <v>29</v>
      </c>
      <c r="G210" s="43">
        <v>23642</v>
      </c>
      <c r="H210" s="51" t="s">
        <v>428</v>
      </c>
      <c r="I210" s="52" t="s">
        <v>22</v>
      </c>
      <c r="J210" s="26" t="s">
        <v>70</v>
      </c>
      <c r="K210" s="53">
        <v>34335</v>
      </c>
      <c r="L210" s="53">
        <v>38719</v>
      </c>
      <c r="M210" s="62">
        <v>45108</v>
      </c>
      <c r="N210" s="140">
        <v>46287</v>
      </c>
    </row>
    <row r="211" spans="1:14" s="3" customFormat="1" ht="24.95" customHeight="1">
      <c r="A211" s="84"/>
      <c r="B211" s="28"/>
      <c r="C211" s="24" t="s">
        <v>279</v>
      </c>
      <c r="D211" s="28" t="s">
        <v>443</v>
      </c>
      <c r="E211" s="90" t="s">
        <v>444</v>
      </c>
      <c r="F211" s="26" t="s">
        <v>29</v>
      </c>
      <c r="G211" s="43">
        <v>31372</v>
      </c>
      <c r="H211" s="51" t="s">
        <v>428</v>
      </c>
      <c r="I211" s="52" t="s">
        <v>22</v>
      </c>
      <c r="J211" s="26" t="s">
        <v>70</v>
      </c>
      <c r="K211" s="53">
        <v>40637</v>
      </c>
      <c r="L211" s="53">
        <v>42795</v>
      </c>
      <c r="M211" s="62">
        <v>45108</v>
      </c>
      <c r="N211" s="62">
        <v>46934</v>
      </c>
    </row>
    <row r="212" spans="1:14" s="3" customFormat="1" ht="24.95" customHeight="1">
      <c r="A212" s="84">
        <v>18</v>
      </c>
      <c r="B212" s="28"/>
      <c r="C212" s="24" t="s">
        <v>279</v>
      </c>
      <c r="D212" s="28" t="s">
        <v>315</v>
      </c>
      <c r="E212" s="96" t="s">
        <v>316</v>
      </c>
      <c r="F212" s="46" t="s">
        <v>29</v>
      </c>
      <c r="G212" s="48">
        <v>26597</v>
      </c>
      <c r="H212" s="51" t="s">
        <v>428</v>
      </c>
      <c r="I212" s="63" t="s">
        <v>22</v>
      </c>
      <c r="J212" s="46" t="s">
        <v>70</v>
      </c>
      <c r="K212" s="64">
        <v>35389</v>
      </c>
      <c r="L212" s="64">
        <v>42795</v>
      </c>
      <c r="M212" s="65">
        <v>45108</v>
      </c>
      <c r="N212" s="65">
        <v>46934</v>
      </c>
    </row>
    <row r="213" spans="1:14" s="3" customFormat="1" ht="24.95" customHeight="1">
      <c r="A213" s="84"/>
      <c r="B213" s="28" t="s">
        <v>286</v>
      </c>
      <c r="C213" s="24" t="s">
        <v>287</v>
      </c>
      <c r="D213" s="24" t="s">
        <v>445</v>
      </c>
      <c r="E213" s="26" t="s">
        <v>446</v>
      </c>
      <c r="F213" s="46" t="s">
        <v>20</v>
      </c>
      <c r="G213" s="48">
        <v>25143</v>
      </c>
      <c r="H213" s="73" t="s">
        <v>428</v>
      </c>
      <c r="I213" s="63" t="s">
        <v>22</v>
      </c>
      <c r="J213" s="26" t="s">
        <v>70</v>
      </c>
      <c r="K213" s="64">
        <v>35690</v>
      </c>
      <c r="L213" s="64">
        <v>35690</v>
      </c>
      <c r="M213" s="62">
        <v>45108</v>
      </c>
      <c r="N213" s="62">
        <v>46934</v>
      </c>
    </row>
    <row r="214" spans="1:14" s="3" customFormat="1" ht="24.95" customHeight="1">
      <c r="A214" s="84"/>
      <c r="B214" s="28"/>
      <c r="C214" s="24" t="s">
        <v>287</v>
      </c>
      <c r="D214" s="24" t="s">
        <v>447</v>
      </c>
      <c r="E214" s="26" t="s">
        <v>448</v>
      </c>
      <c r="F214" s="46" t="s">
        <v>29</v>
      </c>
      <c r="G214" s="48">
        <v>32335</v>
      </c>
      <c r="H214" s="73" t="s">
        <v>428</v>
      </c>
      <c r="I214" s="63" t="s">
        <v>22</v>
      </c>
      <c r="J214" s="26" t="s">
        <v>70</v>
      </c>
      <c r="K214" s="64">
        <v>42257</v>
      </c>
      <c r="L214" s="64">
        <v>42257</v>
      </c>
      <c r="M214" s="98">
        <v>43719</v>
      </c>
      <c r="N214" s="98">
        <v>47299</v>
      </c>
    </row>
    <row r="215" spans="1:14" s="3" customFormat="1" ht="24.95" customHeight="1">
      <c r="A215" s="84"/>
      <c r="B215" s="28"/>
      <c r="C215" s="24" t="s">
        <v>287</v>
      </c>
      <c r="D215" s="24" t="s">
        <v>449</v>
      </c>
      <c r="E215" s="26" t="s">
        <v>450</v>
      </c>
      <c r="F215" s="46" t="s">
        <v>29</v>
      </c>
      <c r="G215" s="48">
        <v>33321</v>
      </c>
      <c r="H215" s="73" t="s">
        <v>428</v>
      </c>
      <c r="I215" s="63" t="s">
        <v>22</v>
      </c>
      <c r="J215" s="26" t="s">
        <v>70</v>
      </c>
      <c r="K215" s="64">
        <v>43193</v>
      </c>
      <c r="L215" s="64">
        <v>43193</v>
      </c>
      <c r="M215" s="62">
        <v>45474</v>
      </c>
      <c r="N215" s="62">
        <v>47299</v>
      </c>
    </row>
    <row r="216" spans="1:14" s="3" customFormat="1" ht="24.95" customHeight="1">
      <c r="A216" s="83"/>
      <c r="B216" s="128" t="s">
        <v>451</v>
      </c>
      <c r="C216" s="24"/>
      <c r="D216" s="24"/>
      <c r="E216" s="271"/>
      <c r="F216" s="272"/>
      <c r="G216" s="273"/>
      <c r="H216" s="274"/>
      <c r="I216" s="63"/>
      <c r="J216" s="26"/>
      <c r="K216" s="64"/>
      <c r="L216" s="64"/>
      <c r="M216" s="62"/>
      <c r="N216" s="62"/>
    </row>
    <row r="217" spans="1:14" s="3" customFormat="1" ht="24.95" customHeight="1">
      <c r="A217" s="83"/>
      <c r="B217" s="131" t="s">
        <v>108</v>
      </c>
      <c r="C217" s="27" t="s">
        <v>109</v>
      </c>
      <c r="D217" s="28" t="s">
        <v>452</v>
      </c>
      <c r="E217" s="26" t="s">
        <v>453</v>
      </c>
      <c r="F217" s="26" t="s">
        <v>20</v>
      </c>
      <c r="G217" s="43">
        <v>23918</v>
      </c>
      <c r="H217" s="51" t="s">
        <v>428</v>
      </c>
      <c r="I217" s="52" t="s">
        <v>22</v>
      </c>
      <c r="J217" s="26" t="s">
        <v>62</v>
      </c>
      <c r="K217" s="53">
        <v>37300</v>
      </c>
      <c r="L217" s="53">
        <v>44743</v>
      </c>
      <c r="M217" s="62">
        <v>45108</v>
      </c>
      <c r="N217" s="62">
        <v>46934</v>
      </c>
    </row>
    <row r="218" spans="1:14" s="3" customFormat="1" ht="24.95" customHeight="1">
      <c r="A218" s="83"/>
      <c r="B218" s="131" t="s">
        <v>308</v>
      </c>
      <c r="C218" s="24" t="s">
        <v>59</v>
      </c>
      <c r="D218" s="28" t="s">
        <v>454</v>
      </c>
      <c r="E218" s="26" t="s">
        <v>455</v>
      </c>
      <c r="F218" s="26" t="s">
        <v>20</v>
      </c>
      <c r="G218" s="43">
        <v>25827</v>
      </c>
      <c r="H218" s="51" t="s">
        <v>428</v>
      </c>
      <c r="I218" s="52" t="s">
        <v>22</v>
      </c>
      <c r="J218" s="26" t="s">
        <v>62</v>
      </c>
      <c r="K218" s="53">
        <v>38660</v>
      </c>
      <c r="L218" s="53">
        <v>44743</v>
      </c>
      <c r="M218" s="62">
        <v>45108</v>
      </c>
      <c r="N218" s="62">
        <v>46934</v>
      </c>
    </row>
    <row r="219" spans="1:14" s="3" customFormat="1" ht="24.95" customHeight="1">
      <c r="A219" s="76"/>
      <c r="B219" s="28" t="s">
        <v>263</v>
      </c>
      <c r="C219" s="24" t="s">
        <v>129</v>
      </c>
      <c r="D219" s="24" t="s">
        <v>456</v>
      </c>
      <c r="E219" s="49" t="s">
        <v>457</v>
      </c>
      <c r="F219" s="46" t="s">
        <v>20</v>
      </c>
      <c r="G219" s="48">
        <v>28299</v>
      </c>
      <c r="H219" s="73" t="s">
        <v>428</v>
      </c>
      <c r="I219" s="63" t="s">
        <v>22</v>
      </c>
      <c r="J219" s="26" t="s">
        <v>62</v>
      </c>
      <c r="K219" s="64">
        <v>40078</v>
      </c>
      <c r="L219" s="64">
        <v>44136</v>
      </c>
      <c r="M219" s="62">
        <v>45108</v>
      </c>
      <c r="N219" s="62">
        <v>46934</v>
      </c>
    </row>
    <row r="220" spans="1:14" s="3" customFormat="1" ht="24.95" customHeight="1">
      <c r="A220" s="76">
        <v>1</v>
      </c>
      <c r="B220" s="28" t="s">
        <v>268</v>
      </c>
      <c r="C220" s="24" t="s">
        <v>123</v>
      </c>
      <c r="D220" s="24" t="s">
        <v>458</v>
      </c>
      <c r="E220" s="26" t="s">
        <v>459</v>
      </c>
      <c r="F220" s="46" t="s">
        <v>29</v>
      </c>
      <c r="G220" s="48">
        <v>28513</v>
      </c>
      <c r="H220" s="73" t="s">
        <v>428</v>
      </c>
      <c r="I220" s="63" t="s">
        <v>22</v>
      </c>
      <c r="J220" s="26" t="s">
        <v>62</v>
      </c>
      <c r="K220" s="64">
        <v>38720</v>
      </c>
      <c r="L220" s="64">
        <v>38720</v>
      </c>
      <c r="M220" s="98">
        <v>45474</v>
      </c>
      <c r="N220" s="98">
        <v>47299</v>
      </c>
    </row>
    <row r="221" spans="1:14" s="3" customFormat="1" ht="24.95" customHeight="1">
      <c r="A221" s="76">
        <v>2</v>
      </c>
      <c r="B221" s="28"/>
      <c r="C221" s="24" t="s">
        <v>123</v>
      </c>
      <c r="D221" s="24" t="s">
        <v>460</v>
      </c>
      <c r="E221" s="107" t="s">
        <v>461</v>
      </c>
      <c r="F221" s="46" t="s">
        <v>20</v>
      </c>
      <c r="G221" s="62">
        <v>28195</v>
      </c>
      <c r="H221" s="112" t="s">
        <v>428</v>
      </c>
      <c r="I221" s="63" t="s">
        <v>22</v>
      </c>
      <c r="J221" s="26" t="s">
        <v>62</v>
      </c>
      <c r="K221" s="100">
        <v>38503</v>
      </c>
      <c r="L221" s="100">
        <v>41306</v>
      </c>
      <c r="M221" s="62">
        <v>45108</v>
      </c>
      <c r="N221" s="62">
        <v>46934</v>
      </c>
    </row>
    <row r="222" spans="1:14" s="3" customFormat="1" ht="24.95" customHeight="1">
      <c r="A222" s="76"/>
      <c r="B222" s="131"/>
      <c r="C222" s="24" t="s">
        <v>123</v>
      </c>
      <c r="D222" s="24" t="s">
        <v>462</v>
      </c>
      <c r="E222" s="107" t="s">
        <v>463</v>
      </c>
      <c r="F222" s="46" t="s">
        <v>20</v>
      </c>
      <c r="G222" s="62">
        <v>30763</v>
      </c>
      <c r="H222" s="112" t="s">
        <v>428</v>
      </c>
      <c r="I222" s="63" t="s">
        <v>22</v>
      </c>
      <c r="J222" s="26" t="s">
        <v>62</v>
      </c>
      <c r="K222" s="100">
        <v>44409</v>
      </c>
      <c r="L222" s="100">
        <v>44409</v>
      </c>
      <c r="M222" s="62">
        <v>45108</v>
      </c>
      <c r="N222" s="62">
        <v>46934</v>
      </c>
    </row>
    <row r="223" spans="1:14" s="3" customFormat="1" ht="24.95" customHeight="1">
      <c r="A223" s="76">
        <v>3</v>
      </c>
      <c r="B223" s="131"/>
      <c r="C223" s="24" t="s">
        <v>123</v>
      </c>
      <c r="D223" s="24" t="s">
        <v>1950</v>
      </c>
      <c r="E223" s="294" t="s">
        <v>1951</v>
      </c>
      <c r="F223" s="46" t="s">
        <v>29</v>
      </c>
      <c r="G223" s="62">
        <v>32792</v>
      </c>
      <c r="H223" s="112" t="s">
        <v>428</v>
      </c>
      <c r="I223" s="63" t="s">
        <v>22</v>
      </c>
      <c r="J223" s="26" t="s">
        <v>62</v>
      </c>
      <c r="K223" s="100">
        <v>46086</v>
      </c>
      <c r="L223" s="100">
        <v>46086</v>
      </c>
      <c r="M223" s="62">
        <v>46146</v>
      </c>
      <c r="N223" s="62">
        <v>47971</v>
      </c>
    </row>
    <row r="224" spans="1:14" s="3" customFormat="1" ht="24.95" customHeight="1">
      <c r="A224" s="76"/>
      <c r="B224" s="28" t="s">
        <v>278</v>
      </c>
      <c r="C224" s="24" t="s">
        <v>279</v>
      </c>
      <c r="D224" s="28" t="s">
        <v>466</v>
      </c>
      <c r="E224" s="90" t="s">
        <v>467</v>
      </c>
      <c r="F224" s="26" t="s">
        <v>29</v>
      </c>
      <c r="G224" s="43">
        <v>26989</v>
      </c>
      <c r="H224" s="51" t="s">
        <v>428</v>
      </c>
      <c r="I224" s="52" t="s">
        <v>22</v>
      </c>
      <c r="J224" s="26" t="s">
        <v>70</v>
      </c>
      <c r="K224" s="53">
        <v>35719</v>
      </c>
      <c r="L224" s="53">
        <v>42795</v>
      </c>
      <c r="M224" s="98">
        <v>45474</v>
      </c>
      <c r="N224" s="98">
        <v>47299</v>
      </c>
    </row>
    <row r="225" spans="1:14" s="3" customFormat="1" ht="24.95" customHeight="1">
      <c r="A225" s="76"/>
      <c r="B225" s="28"/>
      <c r="C225" s="24" t="s">
        <v>279</v>
      </c>
      <c r="D225" s="130" t="s">
        <v>468</v>
      </c>
      <c r="E225" s="49" t="s">
        <v>469</v>
      </c>
      <c r="F225" s="26" t="s">
        <v>20</v>
      </c>
      <c r="G225" s="43">
        <v>24795</v>
      </c>
      <c r="H225" s="51" t="s">
        <v>428</v>
      </c>
      <c r="I225" s="52" t="s">
        <v>22</v>
      </c>
      <c r="J225" s="26" t="s">
        <v>70</v>
      </c>
      <c r="K225" s="53">
        <v>34335</v>
      </c>
      <c r="L225" s="53">
        <v>42795</v>
      </c>
      <c r="M225" s="62">
        <v>45108</v>
      </c>
      <c r="N225" s="140">
        <v>46710</v>
      </c>
    </row>
    <row r="226" spans="1:14" s="3" customFormat="1" ht="24.95" customHeight="1">
      <c r="A226" s="76"/>
      <c r="B226" s="28" t="s">
        <v>305</v>
      </c>
      <c r="C226" s="24" t="s">
        <v>287</v>
      </c>
      <c r="D226" s="24" t="s">
        <v>470</v>
      </c>
      <c r="E226" s="26" t="s">
        <v>471</v>
      </c>
      <c r="F226" s="46" t="s">
        <v>20</v>
      </c>
      <c r="G226" s="48">
        <v>32074</v>
      </c>
      <c r="H226" s="73" t="s">
        <v>428</v>
      </c>
      <c r="I226" s="63" t="s">
        <v>22</v>
      </c>
      <c r="J226" s="26" t="s">
        <v>70</v>
      </c>
      <c r="K226" s="64">
        <v>43710</v>
      </c>
      <c r="L226" s="64">
        <v>43710</v>
      </c>
      <c r="M226" s="98">
        <v>45839</v>
      </c>
      <c r="N226" s="98">
        <v>47664</v>
      </c>
    </row>
    <row r="227" spans="1:14" s="3" customFormat="1" ht="24.95" customHeight="1">
      <c r="A227" s="76"/>
      <c r="B227" s="28"/>
      <c r="C227" s="24" t="s">
        <v>287</v>
      </c>
      <c r="D227" s="24" t="s">
        <v>472</v>
      </c>
      <c r="E227" s="134" t="s">
        <v>473</v>
      </c>
      <c r="F227" s="86" t="s">
        <v>29</v>
      </c>
      <c r="G227" s="88">
        <v>24637</v>
      </c>
      <c r="H227" s="97" t="s">
        <v>428</v>
      </c>
      <c r="I227" s="97" t="s">
        <v>22</v>
      </c>
      <c r="J227" s="27" t="s">
        <v>70</v>
      </c>
      <c r="K227" s="88">
        <v>34335</v>
      </c>
      <c r="L227" s="88">
        <v>34335</v>
      </c>
      <c r="M227" s="62">
        <v>45108</v>
      </c>
      <c r="N227" s="140">
        <v>46552</v>
      </c>
    </row>
    <row r="228" spans="1:14" s="3" customFormat="1" ht="24.95" customHeight="1">
      <c r="A228" s="76">
        <v>4</v>
      </c>
      <c r="B228" s="28"/>
      <c r="C228" s="24" t="s">
        <v>287</v>
      </c>
      <c r="D228" s="24" t="s">
        <v>474</v>
      </c>
      <c r="E228" s="26" t="s">
        <v>475</v>
      </c>
      <c r="F228" s="46" t="s">
        <v>29</v>
      </c>
      <c r="G228" s="48">
        <v>24600</v>
      </c>
      <c r="H228" s="73" t="s">
        <v>428</v>
      </c>
      <c r="I228" s="63" t="s">
        <v>22</v>
      </c>
      <c r="J228" s="26" t="s">
        <v>70</v>
      </c>
      <c r="K228" s="64">
        <v>34335</v>
      </c>
      <c r="L228" s="64">
        <v>34335</v>
      </c>
      <c r="M228" s="62">
        <v>45108</v>
      </c>
      <c r="N228" s="98">
        <v>46604</v>
      </c>
    </row>
    <row r="229" spans="1:14" s="3" customFormat="1" ht="24.95" customHeight="1">
      <c r="A229" s="76"/>
      <c r="B229" s="28"/>
      <c r="C229" s="24"/>
      <c r="D229" s="24"/>
      <c r="E229" s="26"/>
      <c r="F229" s="46"/>
      <c r="G229" s="48"/>
      <c r="H229" s="63"/>
      <c r="I229" s="63"/>
      <c r="J229" s="26"/>
      <c r="K229" s="64"/>
      <c r="L229" s="64"/>
      <c r="M229" s="62"/>
      <c r="N229" s="98"/>
    </row>
    <row r="230" spans="1:14" s="3" customFormat="1" ht="24.95" customHeight="1">
      <c r="A230" s="76"/>
      <c r="B230" s="31" t="s">
        <v>476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1:14" s="3" customFormat="1" ht="24.95" customHeight="1">
      <c r="A231" s="76">
        <v>6</v>
      </c>
      <c r="B231" s="28" t="s">
        <v>262</v>
      </c>
      <c r="C231" s="24" t="s">
        <v>59</v>
      </c>
      <c r="D231" s="28" t="s">
        <v>479</v>
      </c>
      <c r="E231" s="50" t="s">
        <v>480</v>
      </c>
      <c r="F231" s="26" t="s">
        <v>20</v>
      </c>
      <c r="G231" s="43">
        <v>28678</v>
      </c>
      <c r="H231" s="52" t="s">
        <v>428</v>
      </c>
      <c r="I231" s="52" t="s">
        <v>22</v>
      </c>
      <c r="J231" s="26" t="s">
        <v>62</v>
      </c>
      <c r="K231" s="53">
        <v>39631</v>
      </c>
      <c r="L231" s="53">
        <v>44743</v>
      </c>
      <c r="M231" s="62">
        <v>45108</v>
      </c>
      <c r="N231" s="62">
        <v>46934</v>
      </c>
    </row>
    <row r="232" spans="1:14" s="6" customFormat="1" ht="24.95" customHeight="1">
      <c r="A232" s="76"/>
      <c r="B232" s="244" t="s">
        <v>320</v>
      </c>
      <c r="C232" s="24" t="s">
        <v>129</v>
      </c>
      <c r="D232" s="24" t="s">
        <v>481</v>
      </c>
      <c r="E232" s="26" t="s">
        <v>482</v>
      </c>
      <c r="F232" s="46" t="s">
        <v>29</v>
      </c>
      <c r="G232" s="48">
        <v>24958</v>
      </c>
      <c r="H232" s="73" t="s">
        <v>428</v>
      </c>
      <c r="I232" s="63" t="s">
        <v>22</v>
      </c>
      <c r="J232" s="26" t="s">
        <v>62</v>
      </c>
      <c r="K232" s="64">
        <v>34468</v>
      </c>
      <c r="L232" s="64">
        <v>45017</v>
      </c>
      <c r="M232" s="62">
        <v>45474</v>
      </c>
      <c r="N232" s="62">
        <v>47299</v>
      </c>
    </row>
    <row r="233" spans="1:14" s="3" customFormat="1" ht="24.95" customHeight="1">
      <c r="A233" s="76"/>
      <c r="B233" s="28"/>
      <c r="C233" s="24" t="s">
        <v>129</v>
      </c>
      <c r="D233" s="76" t="s">
        <v>488</v>
      </c>
      <c r="E233" s="35" t="s">
        <v>489</v>
      </c>
      <c r="F233" s="35" t="s">
        <v>29</v>
      </c>
      <c r="G233" s="48">
        <v>29735</v>
      </c>
      <c r="H233" s="35" t="s">
        <v>428</v>
      </c>
      <c r="I233" s="35" t="s">
        <v>22</v>
      </c>
      <c r="J233" s="35" t="s">
        <v>62</v>
      </c>
      <c r="K233" s="144">
        <v>45418</v>
      </c>
      <c r="L233" s="144">
        <v>45418</v>
      </c>
      <c r="M233" s="144">
        <v>45418</v>
      </c>
      <c r="N233" s="62">
        <v>47243</v>
      </c>
    </row>
    <row r="234" spans="1:14" s="3" customFormat="1" ht="24.95" customHeight="1">
      <c r="A234" s="76">
        <v>7</v>
      </c>
      <c r="B234" s="28"/>
      <c r="C234" s="24" t="s">
        <v>129</v>
      </c>
      <c r="D234" s="24" t="s">
        <v>490</v>
      </c>
      <c r="E234" s="26" t="s">
        <v>491</v>
      </c>
      <c r="F234" s="46" t="s">
        <v>20</v>
      </c>
      <c r="G234" s="48">
        <v>29444</v>
      </c>
      <c r="H234" s="112" t="s">
        <v>428</v>
      </c>
      <c r="I234" s="63" t="s">
        <v>22</v>
      </c>
      <c r="J234" s="26" t="s">
        <v>62</v>
      </c>
      <c r="K234" s="64">
        <v>41022</v>
      </c>
      <c r="L234" s="64">
        <v>45747</v>
      </c>
      <c r="M234" s="62">
        <v>45108</v>
      </c>
      <c r="N234" s="62">
        <v>46934</v>
      </c>
    </row>
    <row r="235" spans="1:14" s="3" customFormat="1" ht="24.95" customHeight="1">
      <c r="A235" s="76"/>
      <c r="B235" s="28" t="s">
        <v>326</v>
      </c>
      <c r="C235" s="24" t="s">
        <v>123</v>
      </c>
      <c r="D235" s="24" t="s">
        <v>492</v>
      </c>
      <c r="E235" s="26" t="s">
        <v>493</v>
      </c>
      <c r="F235" s="46" t="s">
        <v>20</v>
      </c>
      <c r="G235" s="48">
        <v>30057</v>
      </c>
      <c r="H235" s="112" t="s">
        <v>428</v>
      </c>
      <c r="I235" s="63" t="s">
        <v>22</v>
      </c>
      <c r="J235" s="26" t="s">
        <v>62</v>
      </c>
      <c r="K235" s="64">
        <v>42779</v>
      </c>
      <c r="L235" s="64">
        <v>42779</v>
      </c>
      <c r="M235" s="62">
        <v>45108</v>
      </c>
      <c r="N235" s="62">
        <v>46934</v>
      </c>
    </row>
    <row r="236" spans="1:14" s="3" customFormat="1" ht="24.95" customHeight="1">
      <c r="A236" s="76"/>
      <c r="B236" s="28"/>
      <c r="C236" s="24" t="s">
        <v>123</v>
      </c>
      <c r="D236" s="24" t="s">
        <v>494</v>
      </c>
      <c r="E236" s="27" t="s">
        <v>495</v>
      </c>
      <c r="F236" s="86" t="s">
        <v>29</v>
      </c>
      <c r="G236" s="88">
        <v>31583</v>
      </c>
      <c r="H236" s="97" t="s">
        <v>428</v>
      </c>
      <c r="I236" s="97" t="s">
        <v>22</v>
      </c>
      <c r="J236" s="27" t="s">
        <v>62</v>
      </c>
      <c r="K236" s="88">
        <v>42086</v>
      </c>
      <c r="L236" s="88">
        <v>42583</v>
      </c>
      <c r="M236" s="62">
        <v>45474</v>
      </c>
      <c r="N236" s="62">
        <v>47299</v>
      </c>
    </row>
    <row r="237" spans="1:14" s="3" customFormat="1" ht="24.95" customHeight="1">
      <c r="A237" s="76"/>
      <c r="B237" s="28"/>
      <c r="C237" s="24" t="s">
        <v>123</v>
      </c>
      <c r="D237" s="24" t="s">
        <v>464</v>
      </c>
      <c r="E237" s="26" t="s">
        <v>465</v>
      </c>
      <c r="F237" s="46" t="s">
        <v>20</v>
      </c>
      <c r="G237" s="48">
        <v>26866</v>
      </c>
      <c r="H237" s="112" t="s">
        <v>428</v>
      </c>
      <c r="I237" s="63" t="s">
        <v>22</v>
      </c>
      <c r="J237" s="26" t="s">
        <v>62</v>
      </c>
      <c r="K237" s="64">
        <v>41346</v>
      </c>
      <c r="L237" s="64">
        <v>42095</v>
      </c>
      <c r="M237" s="65">
        <v>45108</v>
      </c>
      <c r="N237" s="62">
        <v>46934</v>
      </c>
    </row>
    <row r="238" spans="1:14" s="3" customFormat="1" ht="24.95" customHeight="1">
      <c r="A238" s="76">
        <v>1</v>
      </c>
      <c r="B238" s="28" t="s">
        <v>333</v>
      </c>
      <c r="C238" s="24" t="s">
        <v>67</v>
      </c>
      <c r="D238" s="28" t="s">
        <v>496</v>
      </c>
      <c r="E238" s="49" t="s">
        <v>497</v>
      </c>
      <c r="F238" s="26" t="s">
        <v>29</v>
      </c>
      <c r="G238" s="43">
        <v>25220</v>
      </c>
      <c r="H238" s="51" t="s">
        <v>428</v>
      </c>
      <c r="I238" s="52" t="s">
        <v>22</v>
      </c>
      <c r="J238" s="26" t="s">
        <v>70</v>
      </c>
      <c r="K238" s="53">
        <v>34335</v>
      </c>
      <c r="L238" s="53">
        <v>42795</v>
      </c>
      <c r="M238" s="62">
        <v>45108</v>
      </c>
      <c r="N238" s="62">
        <v>46934</v>
      </c>
    </row>
    <row r="239" spans="1:14" s="3" customFormat="1" ht="24.95" customHeight="1">
      <c r="A239" s="76">
        <v>2</v>
      </c>
      <c r="B239" s="28"/>
      <c r="C239" s="24" t="s">
        <v>67</v>
      </c>
      <c r="D239" s="28" t="s">
        <v>498</v>
      </c>
      <c r="E239" s="49" t="s">
        <v>499</v>
      </c>
      <c r="F239" s="26" t="s">
        <v>20</v>
      </c>
      <c r="G239" s="43">
        <v>26573</v>
      </c>
      <c r="H239" s="51" t="s">
        <v>428</v>
      </c>
      <c r="I239" s="52" t="s">
        <v>22</v>
      </c>
      <c r="J239" s="26" t="s">
        <v>70</v>
      </c>
      <c r="K239" s="53">
        <v>35719</v>
      </c>
      <c r="L239" s="53">
        <v>42795</v>
      </c>
      <c r="M239" s="62">
        <v>45108</v>
      </c>
      <c r="N239" s="62">
        <v>46934</v>
      </c>
    </row>
    <row r="240" spans="1:14" s="3" customFormat="1" ht="24.95" customHeight="1">
      <c r="A240" s="76">
        <v>3</v>
      </c>
      <c r="B240" s="28" t="s">
        <v>334</v>
      </c>
      <c r="C240" s="24" t="s">
        <v>279</v>
      </c>
      <c r="D240" s="24" t="s">
        <v>502</v>
      </c>
      <c r="E240" s="26" t="s">
        <v>503</v>
      </c>
      <c r="F240" s="46" t="s">
        <v>29</v>
      </c>
      <c r="G240" s="48">
        <v>26740</v>
      </c>
      <c r="H240" s="73" t="s">
        <v>428</v>
      </c>
      <c r="I240" s="63" t="s">
        <v>22</v>
      </c>
      <c r="J240" s="26" t="s">
        <v>70</v>
      </c>
      <c r="K240" s="64">
        <v>35719</v>
      </c>
      <c r="L240" s="64">
        <v>42795</v>
      </c>
      <c r="M240" s="62">
        <v>45108</v>
      </c>
      <c r="N240" s="62">
        <v>46934</v>
      </c>
    </row>
    <row r="241" spans="1:14" s="3" customFormat="1" ht="24.95" customHeight="1">
      <c r="A241" s="76">
        <v>4</v>
      </c>
      <c r="B241" s="24" t="s">
        <v>357</v>
      </c>
      <c r="C241" s="24" t="s">
        <v>287</v>
      </c>
      <c r="D241" s="24" t="s">
        <v>504</v>
      </c>
      <c r="E241" s="90" t="s">
        <v>505</v>
      </c>
      <c r="F241" s="26" t="s">
        <v>29</v>
      </c>
      <c r="G241" s="43">
        <v>33394</v>
      </c>
      <c r="H241" s="51" t="s">
        <v>428</v>
      </c>
      <c r="I241" s="52" t="s">
        <v>22</v>
      </c>
      <c r="J241" s="26" t="s">
        <v>70</v>
      </c>
      <c r="K241" s="53">
        <v>43199</v>
      </c>
      <c r="L241" s="53">
        <v>43199</v>
      </c>
      <c r="M241" s="62">
        <v>45108</v>
      </c>
      <c r="N241" s="62">
        <v>46934</v>
      </c>
    </row>
    <row r="242" spans="1:14" s="3" customFormat="1" ht="24.95" customHeight="1">
      <c r="A242" s="76"/>
      <c r="B242" s="31" t="s">
        <v>1789</v>
      </c>
      <c r="C242" s="24"/>
      <c r="D242" s="132"/>
      <c r="E242" s="90"/>
      <c r="F242" s="26"/>
      <c r="G242" s="43"/>
      <c r="H242" s="51"/>
      <c r="I242" s="52"/>
      <c r="J242" s="26"/>
      <c r="K242" s="53"/>
      <c r="L242" s="53"/>
      <c r="M242" s="140"/>
      <c r="N242" s="140"/>
    </row>
    <row r="243" spans="1:14" s="3" customFormat="1" ht="24.95" customHeight="1">
      <c r="A243" s="76"/>
      <c r="B243" s="31" t="s">
        <v>506</v>
      </c>
      <c r="C243" s="24"/>
      <c r="D243" s="132"/>
      <c r="E243" s="90"/>
      <c r="F243" s="26"/>
      <c r="G243" s="43"/>
      <c r="H243" s="51"/>
      <c r="I243" s="52"/>
      <c r="J243" s="26"/>
      <c r="K243" s="53"/>
      <c r="L243" s="53"/>
      <c r="M243" s="140"/>
      <c r="N243" s="140"/>
    </row>
    <row r="244" spans="1:14" s="3" customFormat="1" ht="24.95" customHeight="1">
      <c r="A244" s="76"/>
      <c r="B244" s="28" t="s">
        <v>507</v>
      </c>
      <c r="C244" s="24" t="s">
        <v>109</v>
      </c>
      <c r="D244" s="24" t="s">
        <v>508</v>
      </c>
      <c r="E244" s="95" t="s">
        <v>509</v>
      </c>
      <c r="F244" s="95" t="s">
        <v>20</v>
      </c>
      <c r="G244" s="135">
        <v>27262</v>
      </c>
      <c r="H244" s="95" t="s">
        <v>428</v>
      </c>
      <c r="I244" s="35" t="s">
        <v>22</v>
      </c>
      <c r="J244" s="35" t="s">
        <v>62</v>
      </c>
      <c r="K244" s="100">
        <v>38720</v>
      </c>
      <c r="L244" s="100">
        <v>44743</v>
      </c>
      <c r="M244" s="62">
        <v>45108</v>
      </c>
      <c r="N244" s="62">
        <v>46934</v>
      </c>
    </row>
    <row r="245" spans="1:14" s="3" customFormat="1" ht="24.95" customHeight="1">
      <c r="A245" s="76">
        <v>7</v>
      </c>
      <c r="C245" s="24" t="s">
        <v>109</v>
      </c>
      <c r="D245" s="27" t="s">
        <v>477</v>
      </c>
      <c r="E245" s="46" t="s">
        <v>478</v>
      </c>
      <c r="F245" s="46" t="s">
        <v>20</v>
      </c>
      <c r="G245" s="48">
        <v>22341</v>
      </c>
      <c r="H245" s="51" t="s">
        <v>428</v>
      </c>
      <c r="I245" s="63" t="s">
        <v>22</v>
      </c>
      <c r="J245" s="26" t="s">
        <v>62</v>
      </c>
      <c r="K245" s="64">
        <v>34335</v>
      </c>
      <c r="L245" s="64">
        <v>45490</v>
      </c>
      <c r="M245" s="64">
        <v>45505</v>
      </c>
      <c r="N245" s="62">
        <v>46082</v>
      </c>
    </row>
    <row r="246" spans="1:14" s="3" customFormat="1" ht="24.95" customHeight="1">
      <c r="A246" s="76"/>
      <c r="B246" s="28" t="s">
        <v>308</v>
      </c>
      <c r="C246" s="24" t="s">
        <v>59</v>
      </c>
      <c r="D246" s="24" t="s">
        <v>510</v>
      </c>
      <c r="E246" s="26" t="s">
        <v>511</v>
      </c>
      <c r="F246" s="46" t="s">
        <v>29</v>
      </c>
      <c r="G246" s="48">
        <v>27583</v>
      </c>
      <c r="H246" s="73" t="s">
        <v>428</v>
      </c>
      <c r="I246" s="63" t="s">
        <v>22</v>
      </c>
      <c r="J246" s="26" t="s">
        <v>62</v>
      </c>
      <c r="K246" s="64">
        <v>39322</v>
      </c>
      <c r="L246" s="64">
        <v>44743</v>
      </c>
      <c r="M246" s="62">
        <v>45108</v>
      </c>
      <c r="N246" s="62">
        <v>46934</v>
      </c>
    </row>
    <row r="247" spans="1:14" s="3" customFormat="1" ht="24.95" customHeight="1">
      <c r="A247" s="76">
        <v>8</v>
      </c>
      <c r="B247" s="28" t="s">
        <v>263</v>
      </c>
      <c r="C247" s="24" t="s">
        <v>129</v>
      </c>
      <c r="D247" s="24" t="s">
        <v>512</v>
      </c>
      <c r="E247" s="26" t="s">
        <v>513</v>
      </c>
      <c r="F247" s="46" t="s">
        <v>20</v>
      </c>
      <c r="G247" s="48">
        <v>29106</v>
      </c>
      <c r="H247" s="73" t="s">
        <v>428</v>
      </c>
      <c r="I247" s="63" t="s">
        <v>22</v>
      </c>
      <c r="J247" s="26" t="s">
        <v>62</v>
      </c>
      <c r="K247" s="64">
        <v>40553</v>
      </c>
      <c r="L247" s="64">
        <v>43983</v>
      </c>
      <c r="M247" s="62">
        <v>45108</v>
      </c>
      <c r="N247" s="62">
        <v>46934</v>
      </c>
    </row>
    <row r="248" spans="1:14" s="3" customFormat="1" ht="24.95" customHeight="1">
      <c r="A248" s="76"/>
      <c r="B248" s="28"/>
      <c r="C248" s="24" t="s">
        <v>129</v>
      </c>
      <c r="D248" s="24" t="s">
        <v>439</v>
      </c>
      <c r="E248" s="26" t="s">
        <v>440</v>
      </c>
      <c r="F248" s="46" t="s">
        <v>29</v>
      </c>
      <c r="G248" s="48">
        <v>29604</v>
      </c>
      <c r="H248" s="73" t="s">
        <v>428</v>
      </c>
      <c r="I248" s="63" t="s">
        <v>22</v>
      </c>
      <c r="J248" s="26" t="s">
        <v>62</v>
      </c>
      <c r="K248" s="64">
        <v>39322</v>
      </c>
      <c r="L248" s="64">
        <v>45747</v>
      </c>
      <c r="M248" s="62">
        <v>45474</v>
      </c>
      <c r="N248" s="62">
        <v>47299</v>
      </c>
    </row>
    <row r="249" spans="1:14" s="3" customFormat="1" ht="24.95" customHeight="1">
      <c r="A249" s="76"/>
      <c r="B249" s="504" t="s">
        <v>268</v>
      </c>
      <c r="C249" s="24" t="s">
        <v>123</v>
      </c>
      <c r="D249" s="24" t="s">
        <v>514</v>
      </c>
      <c r="E249" s="26" t="s">
        <v>515</v>
      </c>
      <c r="F249" s="46" t="s">
        <v>29</v>
      </c>
      <c r="G249" s="48">
        <v>27729</v>
      </c>
      <c r="H249" s="73" t="s">
        <v>428</v>
      </c>
      <c r="I249" s="63" t="s">
        <v>22</v>
      </c>
      <c r="J249" s="26" t="s">
        <v>62</v>
      </c>
      <c r="K249" s="64">
        <v>38196</v>
      </c>
      <c r="L249" s="64">
        <v>38196</v>
      </c>
      <c r="M249" s="62">
        <v>45108</v>
      </c>
      <c r="N249" s="62">
        <v>46934</v>
      </c>
    </row>
    <row r="250" spans="1:14" s="3" customFormat="1" ht="24.95" customHeight="1">
      <c r="A250" s="76"/>
      <c r="B250" s="504"/>
      <c r="C250" s="24" t="s">
        <v>123</v>
      </c>
      <c r="D250" s="24" t="s">
        <v>516</v>
      </c>
      <c r="E250" s="26" t="s">
        <v>517</v>
      </c>
      <c r="F250" s="46" t="s">
        <v>20</v>
      </c>
      <c r="G250" s="48">
        <v>29426</v>
      </c>
      <c r="H250" s="73" t="s">
        <v>428</v>
      </c>
      <c r="I250" s="63" t="s">
        <v>22</v>
      </c>
      <c r="J250" s="26" t="s">
        <v>62</v>
      </c>
      <c r="K250" s="64">
        <v>42702</v>
      </c>
      <c r="L250" s="64">
        <v>42702</v>
      </c>
      <c r="M250" s="62">
        <v>45108</v>
      </c>
      <c r="N250" s="62">
        <v>46934</v>
      </c>
    </row>
    <row r="251" spans="1:14" s="3" customFormat="1" ht="24.95" customHeight="1">
      <c r="A251" s="76"/>
      <c r="B251" s="504" t="s">
        <v>314</v>
      </c>
      <c r="C251" s="24" t="s">
        <v>67</v>
      </c>
      <c r="D251" s="84" t="s">
        <v>518</v>
      </c>
      <c r="E251" s="26" t="s">
        <v>519</v>
      </c>
      <c r="F251" s="46" t="s">
        <v>29</v>
      </c>
      <c r="G251" s="48">
        <v>24071</v>
      </c>
      <c r="H251" s="73" t="s">
        <v>428</v>
      </c>
      <c r="I251" s="63" t="s">
        <v>22</v>
      </c>
      <c r="J251" s="26" t="s">
        <v>70</v>
      </c>
      <c r="K251" s="64">
        <v>34335</v>
      </c>
      <c r="L251" s="64">
        <v>42795</v>
      </c>
      <c r="M251" s="62">
        <v>45108</v>
      </c>
      <c r="N251" s="62">
        <v>46716</v>
      </c>
    </row>
    <row r="252" spans="1:14" s="3" customFormat="1" ht="24.95" customHeight="1">
      <c r="A252" s="76">
        <v>2</v>
      </c>
      <c r="B252" s="504"/>
      <c r="C252" s="24" t="s">
        <v>67</v>
      </c>
      <c r="D252" s="84" t="s">
        <v>520</v>
      </c>
      <c r="E252" s="26" t="s">
        <v>521</v>
      </c>
      <c r="F252" s="46" t="s">
        <v>20</v>
      </c>
      <c r="G252" s="48">
        <v>25753</v>
      </c>
      <c r="H252" s="73" t="s">
        <v>428</v>
      </c>
      <c r="I252" s="63" t="s">
        <v>22</v>
      </c>
      <c r="J252" s="26" t="s">
        <v>70</v>
      </c>
      <c r="K252" s="64">
        <v>34556</v>
      </c>
      <c r="L252" s="64">
        <v>42795</v>
      </c>
      <c r="M252" s="62">
        <v>45108</v>
      </c>
      <c r="N252" s="62">
        <v>46934</v>
      </c>
    </row>
    <row r="253" spans="1:14" s="3" customFormat="1" ht="24.95" customHeight="1">
      <c r="A253" s="121">
        <v>3</v>
      </c>
      <c r="B253" s="504"/>
      <c r="C253" s="24" t="s">
        <v>67</v>
      </c>
      <c r="D253" s="84" t="s">
        <v>522</v>
      </c>
      <c r="E253" s="26" t="s">
        <v>523</v>
      </c>
      <c r="F253" s="46" t="s">
        <v>20</v>
      </c>
      <c r="G253" s="48">
        <v>25543</v>
      </c>
      <c r="H253" s="73" t="s">
        <v>428</v>
      </c>
      <c r="I253" s="63" t="s">
        <v>22</v>
      </c>
      <c r="J253" s="26" t="s">
        <v>70</v>
      </c>
      <c r="K253" s="64">
        <v>34724</v>
      </c>
      <c r="L253" s="64">
        <v>42795</v>
      </c>
      <c r="M253" s="62">
        <v>45108</v>
      </c>
      <c r="N253" s="62">
        <v>46934</v>
      </c>
    </row>
    <row r="254" spans="1:14" s="3" customFormat="1" ht="24.95" customHeight="1">
      <c r="A254" s="76"/>
      <c r="B254" s="28" t="s">
        <v>278</v>
      </c>
      <c r="C254" s="24" t="s">
        <v>279</v>
      </c>
      <c r="D254" s="28" t="s">
        <v>500</v>
      </c>
      <c r="E254" s="49" t="s">
        <v>501</v>
      </c>
      <c r="F254" s="26" t="s">
        <v>20</v>
      </c>
      <c r="G254" s="43">
        <v>23789</v>
      </c>
      <c r="H254" s="51" t="s">
        <v>428</v>
      </c>
      <c r="I254" s="52" t="s">
        <v>22</v>
      </c>
      <c r="J254" s="26" t="s">
        <v>70</v>
      </c>
      <c r="K254" s="53">
        <v>34335</v>
      </c>
      <c r="L254" s="53">
        <v>42795</v>
      </c>
      <c r="M254" s="62">
        <v>55566</v>
      </c>
      <c r="N254" s="140">
        <v>46434</v>
      </c>
    </row>
    <row r="255" spans="1:14" s="3" customFormat="1" ht="24.95" customHeight="1">
      <c r="A255" s="76"/>
      <c r="B255" s="31" t="s">
        <v>1787</v>
      </c>
      <c r="C255" s="24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1:14" s="3" customFormat="1" ht="24.95" customHeight="1">
      <c r="A256" s="76">
        <v>4</v>
      </c>
      <c r="B256" s="28" t="s">
        <v>1788</v>
      </c>
      <c r="C256" s="24" t="s">
        <v>129</v>
      </c>
      <c r="D256" s="24" t="s">
        <v>483</v>
      </c>
      <c r="E256" s="262" t="s">
        <v>484</v>
      </c>
      <c r="F256" s="26" t="s">
        <v>29</v>
      </c>
      <c r="G256" s="43">
        <v>30303</v>
      </c>
      <c r="H256" s="73" t="s">
        <v>428</v>
      </c>
      <c r="I256" s="52" t="s">
        <v>22</v>
      </c>
      <c r="J256" s="26" t="s">
        <v>62</v>
      </c>
      <c r="K256" s="53">
        <v>43591</v>
      </c>
      <c r="L256" s="53">
        <v>45082</v>
      </c>
      <c r="M256" s="55">
        <v>45474</v>
      </c>
      <c r="N256" s="55" t="s">
        <v>485</v>
      </c>
    </row>
    <row r="257" spans="1:14" s="3" customFormat="1" ht="24.95" customHeight="1">
      <c r="A257" s="76"/>
      <c r="B257" s="28" t="s">
        <v>524</v>
      </c>
      <c r="C257" s="24" t="s">
        <v>123</v>
      </c>
      <c r="D257" s="24" t="s">
        <v>525</v>
      </c>
      <c r="E257" s="26" t="s">
        <v>526</v>
      </c>
      <c r="F257" s="26" t="s">
        <v>20</v>
      </c>
      <c r="G257" s="43">
        <v>29492</v>
      </c>
      <c r="H257" s="73" t="s">
        <v>428</v>
      </c>
      <c r="I257" s="52" t="s">
        <v>22</v>
      </c>
      <c r="J257" s="26" t="s">
        <v>62</v>
      </c>
      <c r="K257" s="53">
        <v>42068</v>
      </c>
      <c r="L257" s="53">
        <v>42068</v>
      </c>
      <c r="M257" s="55">
        <v>45474</v>
      </c>
      <c r="N257" s="55">
        <v>47299</v>
      </c>
    </row>
    <row r="258" spans="1:14" s="3" customFormat="1" ht="24.95" customHeight="1">
      <c r="A258" s="76"/>
      <c r="B258" s="28"/>
      <c r="C258" s="24" t="s">
        <v>123</v>
      </c>
      <c r="D258" s="24" t="s">
        <v>124</v>
      </c>
      <c r="E258" s="26" t="s">
        <v>125</v>
      </c>
      <c r="F258" s="26" t="s">
        <v>20</v>
      </c>
      <c r="G258" s="43">
        <v>24472</v>
      </c>
      <c r="H258" s="73" t="s">
        <v>428</v>
      </c>
      <c r="I258" s="52" t="s">
        <v>22</v>
      </c>
      <c r="J258" s="26" t="s">
        <v>62</v>
      </c>
      <c r="K258" s="53">
        <v>41365</v>
      </c>
      <c r="L258" s="53">
        <v>41365</v>
      </c>
      <c r="M258" s="55">
        <v>45108</v>
      </c>
      <c r="N258" s="55">
        <v>46934</v>
      </c>
    </row>
    <row r="259" spans="1:14" s="3" customFormat="1" ht="24.95" customHeight="1">
      <c r="A259" s="76">
        <v>5</v>
      </c>
      <c r="B259" s="28" t="s">
        <v>360</v>
      </c>
      <c r="C259" s="24" t="s">
        <v>123</v>
      </c>
      <c r="D259" s="24" t="s">
        <v>527</v>
      </c>
      <c r="E259" s="26" t="s">
        <v>528</v>
      </c>
      <c r="F259" s="46" t="s">
        <v>20</v>
      </c>
      <c r="G259" s="48">
        <v>31254</v>
      </c>
      <c r="H259" s="73" t="s">
        <v>428</v>
      </c>
      <c r="I259" s="63" t="s">
        <v>22</v>
      </c>
      <c r="J259" s="26" t="s">
        <v>70</v>
      </c>
      <c r="K259" s="64">
        <v>42248</v>
      </c>
      <c r="L259" s="64">
        <v>42248</v>
      </c>
      <c r="M259" s="62">
        <v>45474</v>
      </c>
      <c r="N259" s="62">
        <v>47299</v>
      </c>
    </row>
    <row r="260" spans="1:14" s="3" customFormat="1" ht="24.95" customHeight="1">
      <c r="A260" s="76"/>
      <c r="B260" s="28" t="s">
        <v>1789</v>
      </c>
      <c r="C260" s="31"/>
      <c r="D260" s="132"/>
      <c r="E260" s="49"/>
      <c r="F260" s="26"/>
      <c r="G260" s="43"/>
      <c r="H260" s="51"/>
      <c r="I260" s="52"/>
      <c r="J260" s="26"/>
      <c r="K260" s="53"/>
      <c r="L260" s="53"/>
      <c r="M260" s="140"/>
      <c r="N260" s="140"/>
    </row>
    <row r="261" spans="1:14" s="3" customFormat="1" ht="24.95" customHeight="1">
      <c r="A261" s="76">
        <v>6</v>
      </c>
      <c r="B261" s="31" t="s">
        <v>363</v>
      </c>
      <c r="C261" s="31"/>
      <c r="D261" s="145" t="s">
        <v>52</v>
      </c>
      <c r="E261" s="49"/>
      <c r="F261" s="26"/>
      <c r="G261" s="43"/>
      <c r="H261" s="51"/>
      <c r="I261" s="52"/>
      <c r="J261" s="26"/>
      <c r="K261" s="53"/>
      <c r="L261" s="53"/>
      <c r="M261" s="140"/>
      <c r="N261" s="140"/>
    </row>
    <row r="262" spans="1:14" s="3" customFormat="1" ht="24.95" customHeight="1">
      <c r="A262" s="76">
        <v>7</v>
      </c>
      <c r="B262" s="31" t="s">
        <v>529</v>
      </c>
      <c r="C262" s="31"/>
      <c r="D262" s="128"/>
      <c r="E262" s="49"/>
      <c r="F262" s="26"/>
      <c r="G262" s="43"/>
      <c r="H262" s="51"/>
      <c r="I262" s="52"/>
      <c r="J262" s="26"/>
      <c r="K262" s="53"/>
      <c r="L262" s="53"/>
      <c r="M262" s="140"/>
      <c r="N262" s="140"/>
    </row>
    <row r="263" spans="1:14" s="3" customFormat="1" ht="24.95" customHeight="1">
      <c r="A263" s="76"/>
      <c r="B263" s="24" t="s">
        <v>365</v>
      </c>
      <c r="C263" s="24" t="s">
        <v>55</v>
      </c>
      <c r="D263" s="24" t="s">
        <v>530</v>
      </c>
      <c r="E263" s="107" t="s">
        <v>531</v>
      </c>
      <c r="F263" s="46" t="s">
        <v>20</v>
      </c>
      <c r="G263" s="48">
        <v>25577</v>
      </c>
      <c r="H263" s="73" t="s">
        <v>428</v>
      </c>
      <c r="I263" s="63" t="s">
        <v>22</v>
      </c>
      <c r="J263" s="26" t="s">
        <v>23</v>
      </c>
      <c r="K263" s="64">
        <v>37186</v>
      </c>
      <c r="L263" s="64">
        <v>44743</v>
      </c>
      <c r="M263" s="98">
        <v>44934</v>
      </c>
      <c r="N263" s="98" t="s">
        <v>532</v>
      </c>
    </row>
    <row r="264" spans="1:14" s="3" customFormat="1" ht="24.95" customHeight="1">
      <c r="A264" s="76"/>
      <c r="B264" s="24" t="s">
        <v>533</v>
      </c>
      <c r="C264" s="24" t="s">
        <v>1867</v>
      </c>
      <c r="D264" s="24" t="s">
        <v>534</v>
      </c>
      <c r="E264" s="46" t="s">
        <v>535</v>
      </c>
      <c r="F264" s="46" t="s">
        <v>20</v>
      </c>
      <c r="G264" s="48">
        <v>29515</v>
      </c>
      <c r="H264" s="73" t="s">
        <v>428</v>
      </c>
      <c r="I264" s="63" t="s">
        <v>22</v>
      </c>
      <c r="J264" s="26" t="s">
        <v>30</v>
      </c>
      <c r="K264" s="64">
        <v>39422</v>
      </c>
      <c r="L264" s="64">
        <v>42795</v>
      </c>
      <c r="M264" s="62">
        <v>45108</v>
      </c>
      <c r="N264" s="62">
        <v>46934</v>
      </c>
    </row>
    <row r="265" spans="1:14" s="3" customFormat="1" ht="24.95" customHeight="1">
      <c r="A265" s="76">
        <v>1</v>
      </c>
      <c r="B265" s="24" t="s">
        <v>1756</v>
      </c>
      <c r="C265" s="24" t="s">
        <v>35</v>
      </c>
      <c r="D265" s="24" t="s">
        <v>536</v>
      </c>
      <c r="E265" s="26" t="s">
        <v>537</v>
      </c>
      <c r="F265" s="26" t="s">
        <v>29</v>
      </c>
      <c r="G265" s="43">
        <v>25801</v>
      </c>
      <c r="H265" s="73" t="s">
        <v>428</v>
      </c>
      <c r="I265" s="52" t="s">
        <v>22</v>
      </c>
      <c r="J265" s="26" t="s">
        <v>30</v>
      </c>
      <c r="K265" s="53">
        <v>34702</v>
      </c>
      <c r="L265" s="53">
        <v>45839</v>
      </c>
      <c r="M265" s="55">
        <v>45108</v>
      </c>
      <c r="N265" s="55">
        <v>46934</v>
      </c>
    </row>
    <row r="266" spans="1:14" s="3" customFormat="1" ht="24.95" customHeight="1">
      <c r="A266" s="76"/>
      <c r="B266" s="24" t="s">
        <v>189</v>
      </c>
      <c r="C266" s="24" t="s">
        <v>35</v>
      </c>
      <c r="D266" s="84" t="s">
        <v>1010</v>
      </c>
      <c r="E266" s="26" t="s">
        <v>1011</v>
      </c>
      <c r="F266" s="46" t="s">
        <v>20</v>
      </c>
      <c r="G266" s="48">
        <v>25725</v>
      </c>
      <c r="H266" s="73" t="s">
        <v>428</v>
      </c>
      <c r="I266" s="63" t="s">
        <v>22</v>
      </c>
      <c r="J266" s="26" t="s">
        <v>30</v>
      </c>
      <c r="K266" s="64">
        <v>35690</v>
      </c>
      <c r="L266" s="64">
        <v>45839</v>
      </c>
      <c r="M266" s="62">
        <v>45108</v>
      </c>
      <c r="N266" s="62">
        <v>46934</v>
      </c>
    </row>
    <row r="267" spans="1:14" s="3" customFormat="1" ht="24.95" customHeight="1">
      <c r="A267" s="76">
        <v>2</v>
      </c>
      <c r="B267" s="24" t="s">
        <v>74</v>
      </c>
      <c r="C267" s="24" t="s">
        <v>35</v>
      </c>
      <c r="D267" s="24" t="s">
        <v>538</v>
      </c>
      <c r="E267" s="46" t="s">
        <v>539</v>
      </c>
      <c r="F267" s="46" t="s">
        <v>29</v>
      </c>
      <c r="G267" s="48">
        <v>31017</v>
      </c>
      <c r="H267" s="73" t="s">
        <v>428</v>
      </c>
      <c r="I267" s="63" t="s">
        <v>22</v>
      </c>
      <c r="J267" s="26" t="s">
        <v>30</v>
      </c>
      <c r="K267" s="64">
        <v>40207</v>
      </c>
      <c r="L267" s="64">
        <v>45595</v>
      </c>
      <c r="M267" s="62">
        <v>45108</v>
      </c>
      <c r="N267" s="62">
        <v>46934</v>
      </c>
    </row>
    <row r="268" spans="1:14" s="3" customFormat="1" ht="24.95" customHeight="1">
      <c r="A268" s="76">
        <v>3</v>
      </c>
      <c r="B268" s="24" t="s">
        <v>543</v>
      </c>
      <c r="C268" s="27" t="s">
        <v>39</v>
      </c>
      <c r="D268" s="24" t="s">
        <v>544</v>
      </c>
      <c r="E268" s="26" t="s">
        <v>545</v>
      </c>
      <c r="F268" s="26" t="s">
        <v>29</v>
      </c>
      <c r="G268" s="43">
        <v>28893</v>
      </c>
      <c r="H268" s="73" t="s">
        <v>428</v>
      </c>
      <c r="I268" s="52" t="s">
        <v>22</v>
      </c>
      <c r="J268" s="26" t="s">
        <v>30</v>
      </c>
      <c r="K268" s="53">
        <v>42095</v>
      </c>
      <c r="L268" s="53">
        <v>43221</v>
      </c>
      <c r="M268" s="62">
        <v>45477</v>
      </c>
      <c r="N268" s="98">
        <v>47299</v>
      </c>
    </row>
    <row r="269" spans="1:14" s="3" customFormat="1" ht="24.95" customHeight="1">
      <c r="A269" s="76"/>
      <c r="B269" s="24" t="s">
        <v>546</v>
      </c>
      <c r="C269" s="27" t="s">
        <v>41</v>
      </c>
      <c r="D269" s="84" t="s">
        <v>547</v>
      </c>
      <c r="E269" s="96" t="s">
        <v>548</v>
      </c>
      <c r="F269" s="46" t="s">
        <v>29</v>
      </c>
      <c r="G269" s="48">
        <v>25545</v>
      </c>
      <c r="H269" s="73" t="s">
        <v>428</v>
      </c>
      <c r="I269" s="63" t="s">
        <v>22</v>
      </c>
      <c r="J269" s="26" t="s">
        <v>30</v>
      </c>
      <c r="K269" s="64">
        <v>37249</v>
      </c>
      <c r="L269" s="64">
        <v>42795</v>
      </c>
      <c r="M269" s="62">
        <v>45108</v>
      </c>
      <c r="N269" s="98">
        <v>46934</v>
      </c>
    </row>
    <row r="270" spans="1:14" s="3" customFormat="1" ht="24.95" customHeight="1">
      <c r="A270" s="76">
        <v>4</v>
      </c>
      <c r="B270" s="24" t="s">
        <v>546</v>
      </c>
      <c r="C270" s="27" t="s">
        <v>41</v>
      </c>
      <c r="D270" s="24" t="s">
        <v>549</v>
      </c>
      <c r="E270" s="26" t="s">
        <v>550</v>
      </c>
      <c r="F270" s="46" t="s">
        <v>29</v>
      </c>
      <c r="G270" s="48">
        <v>33600</v>
      </c>
      <c r="H270" s="73" t="s">
        <v>428</v>
      </c>
      <c r="I270" s="63" t="s">
        <v>22</v>
      </c>
      <c r="J270" s="26" t="s">
        <v>30</v>
      </c>
      <c r="K270" s="64">
        <v>42867</v>
      </c>
      <c r="L270" s="161">
        <v>45278</v>
      </c>
      <c r="M270" s="65" t="s">
        <v>193</v>
      </c>
      <c r="N270" s="65" t="s">
        <v>551</v>
      </c>
    </row>
    <row r="271" spans="1:14" s="3" customFormat="1" ht="24.95" customHeight="1">
      <c r="A271" s="76"/>
      <c r="B271" s="24" t="s">
        <v>38</v>
      </c>
      <c r="C271" s="27" t="s">
        <v>39</v>
      </c>
      <c r="D271" s="84" t="s">
        <v>552</v>
      </c>
      <c r="E271" s="96" t="s">
        <v>553</v>
      </c>
      <c r="F271" s="46" t="s">
        <v>29</v>
      </c>
      <c r="G271" s="48">
        <v>26485</v>
      </c>
      <c r="H271" s="73" t="s">
        <v>428</v>
      </c>
      <c r="I271" s="63" t="s">
        <v>22</v>
      </c>
      <c r="J271" s="26" t="s">
        <v>30</v>
      </c>
      <c r="K271" s="64">
        <v>36865</v>
      </c>
      <c r="L271" s="64">
        <v>45278</v>
      </c>
      <c r="M271" s="62">
        <v>45108</v>
      </c>
      <c r="N271" s="98">
        <v>46934</v>
      </c>
    </row>
    <row r="272" spans="1:14" s="3" customFormat="1" ht="24.95" customHeight="1">
      <c r="A272" s="76">
        <v>5</v>
      </c>
      <c r="B272" s="24" t="s">
        <v>40</v>
      </c>
      <c r="C272" s="27" t="s">
        <v>41</v>
      </c>
      <c r="D272" s="84" t="s">
        <v>554</v>
      </c>
      <c r="E272" s="96" t="s">
        <v>555</v>
      </c>
      <c r="F272" s="46" t="s">
        <v>29</v>
      </c>
      <c r="G272" s="48">
        <v>24861</v>
      </c>
      <c r="H272" s="73" t="s">
        <v>428</v>
      </c>
      <c r="I272" s="63" t="s">
        <v>22</v>
      </c>
      <c r="J272" s="26" t="s">
        <v>30</v>
      </c>
      <c r="K272" s="64">
        <v>34468</v>
      </c>
      <c r="L272" s="64">
        <v>42795</v>
      </c>
      <c r="M272" s="62">
        <v>45108</v>
      </c>
      <c r="N272" s="98">
        <v>46776</v>
      </c>
    </row>
    <row r="273" spans="1:14" s="3" customFormat="1" ht="24.95" customHeight="1">
      <c r="A273" s="76"/>
      <c r="B273" s="24" t="s">
        <v>40</v>
      </c>
      <c r="C273" s="27" t="s">
        <v>41</v>
      </c>
      <c r="D273" s="84" t="s">
        <v>556</v>
      </c>
      <c r="E273" s="96" t="s">
        <v>557</v>
      </c>
      <c r="F273" s="46" t="s">
        <v>29</v>
      </c>
      <c r="G273" s="48">
        <v>27881</v>
      </c>
      <c r="H273" s="73" t="s">
        <v>428</v>
      </c>
      <c r="I273" s="63" t="s">
        <v>22</v>
      </c>
      <c r="J273" s="26" t="s">
        <v>30</v>
      </c>
      <c r="K273" s="64">
        <v>37288</v>
      </c>
      <c r="L273" s="64">
        <v>42795</v>
      </c>
      <c r="M273" s="62">
        <v>45108</v>
      </c>
      <c r="N273" s="98">
        <v>46934</v>
      </c>
    </row>
    <row r="274" spans="1:14" s="3" customFormat="1" ht="24.95" customHeight="1">
      <c r="A274" s="76"/>
      <c r="B274" s="24" t="s">
        <v>1757</v>
      </c>
      <c r="C274" s="27" t="s">
        <v>41</v>
      </c>
      <c r="D274" s="84" t="s">
        <v>558</v>
      </c>
      <c r="E274" s="96" t="s">
        <v>559</v>
      </c>
      <c r="F274" s="46" t="s">
        <v>29</v>
      </c>
      <c r="G274" s="48">
        <v>27106</v>
      </c>
      <c r="H274" s="73" t="s">
        <v>428</v>
      </c>
      <c r="I274" s="63" t="s">
        <v>22</v>
      </c>
      <c r="J274" s="26" t="s">
        <v>30</v>
      </c>
      <c r="K274" s="64">
        <v>35690</v>
      </c>
      <c r="L274" s="64">
        <v>42795</v>
      </c>
      <c r="M274" s="62">
        <v>45108</v>
      </c>
      <c r="N274" s="98">
        <v>46934</v>
      </c>
    </row>
    <row r="275" spans="1:14" s="8" customFormat="1" ht="24.95" customHeight="1">
      <c r="A275" s="76">
        <v>6</v>
      </c>
      <c r="B275" s="24" t="s">
        <v>226</v>
      </c>
      <c r="C275" s="27" t="s">
        <v>85</v>
      </c>
      <c r="D275" s="24" t="s">
        <v>560</v>
      </c>
      <c r="E275" s="26" t="s">
        <v>561</v>
      </c>
      <c r="F275" s="46" t="s">
        <v>29</v>
      </c>
      <c r="G275" s="48">
        <v>27273</v>
      </c>
      <c r="H275" s="73" t="s">
        <v>428</v>
      </c>
      <c r="I275" s="63" t="s">
        <v>22</v>
      </c>
      <c r="J275" s="26" t="s">
        <v>30</v>
      </c>
      <c r="K275" s="64">
        <v>40968</v>
      </c>
      <c r="L275" s="64">
        <v>40968</v>
      </c>
      <c r="M275" s="98">
        <v>45474</v>
      </c>
      <c r="N275" s="98">
        <v>47299</v>
      </c>
    </row>
    <row r="276" spans="1:14" s="3" customFormat="1" ht="24.95" customHeight="1">
      <c r="A276" s="76"/>
      <c r="B276" s="24" t="s">
        <v>562</v>
      </c>
      <c r="C276" s="27" t="s">
        <v>85</v>
      </c>
      <c r="D276" s="84" t="s">
        <v>563</v>
      </c>
      <c r="E276" s="96" t="s">
        <v>564</v>
      </c>
      <c r="F276" s="46" t="s">
        <v>20</v>
      </c>
      <c r="G276" s="48">
        <v>25698</v>
      </c>
      <c r="H276" s="73" t="s">
        <v>428</v>
      </c>
      <c r="I276" s="63" t="s">
        <v>22</v>
      </c>
      <c r="J276" s="26" t="s">
        <v>50</v>
      </c>
      <c r="K276" s="64">
        <v>34468</v>
      </c>
      <c r="L276" s="64">
        <v>34468</v>
      </c>
      <c r="M276" s="62">
        <v>45108</v>
      </c>
      <c r="N276" s="98">
        <v>46934</v>
      </c>
    </row>
    <row r="277" spans="1:14" s="3" customFormat="1" ht="24.95" customHeight="1">
      <c r="A277" s="76"/>
      <c r="B277" s="24" t="s">
        <v>565</v>
      </c>
      <c r="C277" s="27" t="s">
        <v>45</v>
      </c>
      <c r="D277" s="84" t="s">
        <v>566</v>
      </c>
      <c r="E277" s="96" t="s">
        <v>567</v>
      </c>
      <c r="F277" s="46" t="s">
        <v>20</v>
      </c>
      <c r="G277" s="48">
        <v>29487</v>
      </c>
      <c r="H277" s="73" t="s">
        <v>428</v>
      </c>
      <c r="I277" s="63" t="s">
        <v>22</v>
      </c>
      <c r="J277" s="26" t="s">
        <v>50</v>
      </c>
      <c r="K277" s="64">
        <v>36634</v>
      </c>
      <c r="L277" s="64">
        <v>36634</v>
      </c>
      <c r="M277" s="62">
        <v>45108</v>
      </c>
      <c r="N277" s="98">
        <v>46934</v>
      </c>
    </row>
    <row r="278" spans="1:14" s="3" customFormat="1" ht="24.95" customHeight="1">
      <c r="A278" s="76">
        <v>1</v>
      </c>
      <c r="B278" s="24" t="s">
        <v>568</v>
      </c>
      <c r="C278" s="27" t="s">
        <v>45</v>
      </c>
      <c r="D278" s="84" t="s">
        <v>569</v>
      </c>
      <c r="E278" s="96" t="s">
        <v>570</v>
      </c>
      <c r="F278" s="46" t="s">
        <v>20</v>
      </c>
      <c r="G278" s="48">
        <v>27489</v>
      </c>
      <c r="H278" s="73" t="s">
        <v>428</v>
      </c>
      <c r="I278" s="63" t="s">
        <v>22</v>
      </c>
      <c r="J278" s="26" t="s">
        <v>50</v>
      </c>
      <c r="K278" s="64">
        <v>42312</v>
      </c>
      <c r="L278" s="64">
        <v>42312</v>
      </c>
      <c r="M278" s="62">
        <v>45108</v>
      </c>
      <c r="N278" s="98">
        <v>46934</v>
      </c>
    </row>
    <row r="279" spans="1:14" s="3" customFormat="1" ht="24.95" customHeight="1">
      <c r="A279" s="76"/>
      <c r="B279" s="24" t="s">
        <v>44</v>
      </c>
      <c r="C279" s="27" t="s">
        <v>45</v>
      </c>
      <c r="D279" s="84" t="s">
        <v>571</v>
      </c>
      <c r="E279" s="96" t="s">
        <v>572</v>
      </c>
      <c r="F279" s="46" t="s">
        <v>20</v>
      </c>
      <c r="G279" s="48">
        <v>25724</v>
      </c>
      <c r="H279" s="73" t="s">
        <v>428</v>
      </c>
      <c r="I279" s="63" t="s">
        <v>22</v>
      </c>
      <c r="J279" s="26" t="s">
        <v>50</v>
      </c>
      <c r="K279" s="64">
        <v>38552</v>
      </c>
      <c r="L279" s="64">
        <v>38552</v>
      </c>
      <c r="M279" s="62">
        <v>45108</v>
      </c>
      <c r="N279" s="98">
        <v>46934</v>
      </c>
    </row>
    <row r="280" spans="1:14" s="3" customFormat="1" ht="24.95" customHeight="1">
      <c r="A280" s="76">
        <v>2</v>
      </c>
      <c r="B280" s="24" t="s">
        <v>44</v>
      </c>
      <c r="C280" s="27" t="s">
        <v>45</v>
      </c>
      <c r="D280" s="84" t="s">
        <v>573</v>
      </c>
      <c r="E280" s="96" t="s">
        <v>574</v>
      </c>
      <c r="F280" s="46" t="s">
        <v>20</v>
      </c>
      <c r="G280" s="48">
        <v>25360</v>
      </c>
      <c r="H280" s="73" t="s">
        <v>428</v>
      </c>
      <c r="I280" s="63" t="s">
        <v>22</v>
      </c>
      <c r="J280" s="26" t="s">
        <v>50</v>
      </c>
      <c r="K280" s="64">
        <v>42312</v>
      </c>
      <c r="L280" s="64">
        <v>42312</v>
      </c>
      <c r="M280" s="98">
        <v>45474</v>
      </c>
      <c r="N280" s="98">
        <v>47275</v>
      </c>
    </row>
    <row r="281" spans="1:14" s="3" customFormat="1" ht="24.95" customHeight="1">
      <c r="A281" s="76"/>
      <c r="B281" s="24" t="s">
        <v>44</v>
      </c>
      <c r="C281" s="27" t="s">
        <v>45</v>
      </c>
      <c r="D281" s="84" t="s">
        <v>575</v>
      </c>
      <c r="E281" s="96" t="s">
        <v>576</v>
      </c>
      <c r="F281" s="46" t="s">
        <v>20</v>
      </c>
      <c r="G281" s="48">
        <v>26941</v>
      </c>
      <c r="H281" s="73" t="s">
        <v>428</v>
      </c>
      <c r="I281" s="63" t="s">
        <v>22</v>
      </c>
      <c r="J281" s="26" t="s">
        <v>50</v>
      </c>
      <c r="K281" s="64">
        <v>35580</v>
      </c>
      <c r="L281" s="64">
        <v>35580</v>
      </c>
      <c r="M281" s="62">
        <v>45108</v>
      </c>
      <c r="N281" s="98">
        <v>46934</v>
      </c>
    </row>
    <row r="282" spans="1:14" s="3" customFormat="1" ht="24.95" customHeight="1">
      <c r="A282" s="76"/>
      <c r="B282" s="24" t="s">
        <v>46</v>
      </c>
      <c r="C282" s="27" t="s">
        <v>47</v>
      </c>
      <c r="D282" s="84" t="s">
        <v>578</v>
      </c>
      <c r="E282" s="96" t="s">
        <v>580</v>
      </c>
      <c r="F282" s="46" t="s">
        <v>20</v>
      </c>
      <c r="G282" s="48">
        <v>25620</v>
      </c>
      <c r="H282" s="73" t="s">
        <v>428</v>
      </c>
      <c r="I282" s="63" t="s">
        <v>22</v>
      </c>
      <c r="J282" s="26" t="s">
        <v>50</v>
      </c>
      <c r="K282" s="64">
        <v>34468</v>
      </c>
      <c r="L282" s="64">
        <v>34468</v>
      </c>
      <c r="M282" s="62">
        <v>45108</v>
      </c>
      <c r="N282" s="98">
        <v>46934</v>
      </c>
    </row>
    <row r="283" spans="1:14" s="3" customFormat="1" ht="24.95" customHeight="1">
      <c r="A283" s="76"/>
      <c r="B283" s="24" t="s">
        <v>581</v>
      </c>
      <c r="C283" s="27" t="s">
        <v>45</v>
      </c>
      <c r="D283" s="84" t="s">
        <v>582</v>
      </c>
      <c r="E283" s="96" t="s">
        <v>583</v>
      </c>
      <c r="F283" s="46" t="s">
        <v>20</v>
      </c>
      <c r="G283" s="48">
        <v>28486</v>
      </c>
      <c r="H283" s="73" t="s">
        <v>428</v>
      </c>
      <c r="I283" s="63" t="s">
        <v>22</v>
      </c>
      <c r="J283" s="26" t="s">
        <v>50</v>
      </c>
      <c r="K283" s="64">
        <v>37441</v>
      </c>
      <c r="L283" s="64">
        <v>37441</v>
      </c>
      <c r="M283" s="62">
        <v>45108</v>
      </c>
      <c r="N283" s="98">
        <v>46934</v>
      </c>
    </row>
    <row r="284" spans="1:14" s="3" customFormat="1" ht="24.95" customHeight="1">
      <c r="A284" s="76">
        <v>1</v>
      </c>
      <c r="B284" s="24" t="s">
        <v>581</v>
      </c>
      <c r="C284" s="27" t="s">
        <v>45</v>
      </c>
      <c r="D284" s="84" t="s">
        <v>584</v>
      </c>
      <c r="E284" s="96" t="s">
        <v>585</v>
      </c>
      <c r="F284" s="46" t="s">
        <v>20</v>
      </c>
      <c r="G284" s="48">
        <v>31180</v>
      </c>
      <c r="H284" s="73" t="s">
        <v>428</v>
      </c>
      <c r="I284" s="63" t="s">
        <v>22</v>
      </c>
      <c r="J284" s="26" t="s">
        <v>50</v>
      </c>
      <c r="K284" s="64">
        <v>42312</v>
      </c>
      <c r="L284" s="64">
        <v>42312</v>
      </c>
      <c r="M284" s="98">
        <v>45474</v>
      </c>
      <c r="N284" s="98">
        <v>47299</v>
      </c>
    </row>
    <row r="285" spans="1:14" s="3" customFormat="1" ht="24.95" customHeight="1">
      <c r="A285" s="76">
        <v>2</v>
      </c>
      <c r="B285" s="24" t="s">
        <v>581</v>
      </c>
      <c r="C285" s="27" t="s">
        <v>45</v>
      </c>
      <c r="D285" s="84" t="s">
        <v>586</v>
      </c>
      <c r="E285" s="96" t="s">
        <v>587</v>
      </c>
      <c r="F285" s="46" t="s">
        <v>20</v>
      </c>
      <c r="G285" s="48">
        <v>33533</v>
      </c>
      <c r="H285" s="73" t="s">
        <v>428</v>
      </c>
      <c r="I285" s="63" t="s">
        <v>22</v>
      </c>
      <c r="J285" s="26" t="s">
        <v>50</v>
      </c>
      <c r="K285" s="64">
        <v>43282</v>
      </c>
      <c r="L285" s="64">
        <v>43282</v>
      </c>
      <c r="M285" s="62">
        <v>45108</v>
      </c>
      <c r="N285" s="98">
        <v>46934</v>
      </c>
    </row>
    <row r="286" spans="1:14" s="3" customFormat="1" ht="24.95" customHeight="1">
      <c r="A286" s="76">
        <v>3</v>
      </c>
      <c r="B286" s="24" t="s">
        <v>581</v>
      </c>
      <c r="C286" s="27" t="s">
        <v>45</v>
      </c>
      <c r="D286" s="84" t="s">
        <v>588</v>
      </c>
      <c r="E286" s="96" t="s">
        <v>589</v>
      </c>
      <c r="F286" s="46" t="s">
        <v>20</v>
      </c>
      <c r="G286" s="48">
        <v>25197</v>
      </c>
      <c r="H286" s="73" t="s">
        <v>428</v>
      </c>
      <c r="I286" s="63" t="s">
        <v>22</v>
      </c>
      <c r="J286" s="26" t="s">
        <v>50</v>
      </c>
      <c r="K286" s="64">
        <v>43282</v>
      </c>
      <c r="L286" s="64">
        <v>43282</v>
      </c>
      <c r="M286" s="62">
        <v>45108</v>
      </c>
      <c r="N286" s="98">
        <v>47112</v>
      </c>
    </row>
    <row r="287" spans="1:14" s="3" customFormat="1" ht="24.95" customHeight="1">
      <c r="A287" s="76">
        <v>4</v>
      </c>
      <c r="B287" s="24" t="s">
        <v>581</v>
      </c>
      <c r="C287" s="27" t="s">
        <v>45</v>
      </c>
      <c r="D287" s="84" t="s">
        <v>590</v>
      </c>
      <c r="E287" s="96" t="s">
        <v>591</v>
      </c>
      <c r="F287" s="46" t="s">
        <v>20</v>
      </c>
      <c r="G287" s="48">
        <v>27054</v>
      </c>
      <c r="H287" s="73" t="s">
        <v>428</v>
      </c>
      <c r="I287" s="63" t="s">
        <v>22</v>
      </c>
      <c r="J287" s="26" t="s">
        <v>50</v>
      </c>
      <c r="K287" s="64">
        <v>45418</v>
      </c>
      <c r="L287" s="64">
        <v>45418</v>
      </c>
      <c r="M287" s="64">
        <v>45418</v>
      </c>
      <c r="N287" s="64">
        <v>47238</v>
      </c>
    </row>
    <row r="288" spans="1:14" s="3" customFormat="1" ht="24.95" customHeight="1">
      <c r="A288" s="76">
        <v>5</v>
      </c>
      <c r="B288" s="31" t="s">
        <v>592</v>
      </c>
      <c r="C288" s="146"/>
      <c r="D288" s="24" t="s">
        <v>821</v>
      </c>
      <c r="E288" s="26"/>
      <c r="F288" s="26"/>
      <c r="G288" s="42"/>
      <c r="H288" s="99"/>
      <c r="I288" s="26"/>
      <c r="J288" s="26"/>
      <c r="K288" s="71"/>
      <c r="L288" s="71"/>
      <c r="M288" s="55"/>
      <c r="N288" s="55"/>
    </row>
    <row r="289" spans="1:14" s="3" customFormat="1" ht="24.95" customHeight="1">
      <c r="A289" s="76"/>
      <c r="B289" s="83" t="s">
        <v>593</v>
      </c>
      <c r="C289" s="31"/>
      <c r="D289" s="147" t="s">
        <v>52</v>
      </c>
      <c r="E289" s="148"/>
      <c r="F289" s="148"/>
      <c r="G289" s="155"/>
      <c r="H289" s="162"/>
      <c r="I289" s="148"/>
      <c r="J289" s="148"/>
      <c r="K289" s="163"/>
      <c r="L289" s="163"/>
      <c r="M289" s="164"/>
      <c r="N289" s="164"/>
    </row>
    <row r="290" spans="1:14" s="3" customFormat="1" ht="24.95" customHeight="1">
      <c r="A290" s="76">
        <v>8</v>
      </c>
      <c r="B290" s="122"/>
      <c r="C290" s="125"/>
      <c r="D290" s="122" t="s">
        <v>52</v>
      </c>
      <c r="E290" s="126"/>
      <c r="F290" s="126"/>
      <c r="G290" s="133"/>
      <c r="H290" s="137"/>
      <c r="I290" s="126"/>
      <c r="J290" s="126"/>
      <c r="K290" s="138"/>
      <c r="L290" s="138"/>
      <c r="M290" s="139"/>
      <c r="N290" s="139"/>
    </row>
    <row r="291" spans="1:14" s="7" customFormat="1" ht="24.95" customHeight="1">
      <c r="A291" s="76"/>
      <c r="B291" s="137" t="s">
        <v>594</v>
      </c>
      <c r="C291" s="125"/>
      <c r="D291" s="122" t="s">
        <v>52</v>
      </c>
      <c r="E291" s="126"/>
      <c r="F291" s="126"/>
      <c r="G291" s="133"/>
      <c r="H291" s="137"/>
      <c r="I291" s="126"/>
      <c r="J291" s="126"/>
      <c r="K291" s="138"/>
      <c r="L291" s="138"/>
      <c r="M291" s="139"/>
      <c r="N291" s="139"/>
    </row>
    <row r="292" spans="1:14" s="9" customFormat="1" ht="24.95" customHeight="1">
      <c r="A292" s="76">
        <v>10</v>
      </c>
      <c r="B292" s="150" t="s">
        <v>595</v>
      </c>
      <c r="C292" s="152"/>
      <c r="D292" s="102" t="s">
        <v>52</v>
      </c>
      <c r="E292" s="108"/>
      <c r="F292" s="87"/>
      <c r="G292" s="156"/>
      <c r="H292" s="165"/>
      <c r="I292" s="166"/>
      <c r="J292" s="108"/>
      <c r="K292" s="167"/>
      <c r="L292" s="167"/>
      <c r="M292" s="160"/>
      <c r="N292" s="160"/>
    </row>
    <row r="293" spans="1:14" s="9" customFormat="1" ht="24.95" customHeight="1">
      <c r="A293" s="76"/>
      <c r="B293" s="169" t="s">
        <v>108</v>
      </c>
      <c r="C293" s="24" t="s">
        <v>109</v>
      </c>
      <c r="D293" s="24" t="s">
        <v>1875</v>
      </c>
      <c r="E293" s="50" t="s">
        <v>429</v>
      </c>
      <c r="F293" s="26" t="s">
        <v>29</v>
      </c>
      <c r="G293" s="43">
        <v>22971</v>
      </c>
      <c r="H293" s="165" t="s">
        <v>598</v>
      </c>
      <c r="I293" s="52" t="s">
        <v>22</v>
      </c>
      <c r="J293" s="26" t="s">
        <v>62</v>
      </c>
      <c r="K293" s="53">
        <v>40078</v>
      </c>
      <c r="L293" s="53">
        <v>44743</v>
      </c>
      <c r="M293" s="140">
        <v>45108</v>
      </c>
      <c r="N293" s="140">
        <v>46712</v>
      </c>
    </row>
    <row r="294" spans="1:14" s="9" customFormat="1" ht="24.95" customHeight="1">
      <c r="A294" s="76"/>
      <c r="B294" s="149" t="s">
        <v>291</v>
      </c>
      <c r="C294" s="108" t="s">
        <v>59</v>
      </c>
      <c r="D294" s="24" t="s">
        <v>596</v>
      </c>
      <c r="E294" s="27" t="s">
        <v>597</v>
      </c>
      <c r="F294" s="86" t="s">
        <v>20</v>
      </c>
      <c r="G294" s="154">
        <v>25569</v>
      </c>
      <c r="H294" s="165" t="s">
        <v>598</v>
      </c>
      <c r="I294" s="97" t="s">
        <v>22</v>
      </c>
      <c r="J294" s="108" t="s">
        <v>62</v>
      </c>
      <c r="K294" s="159">
        <v>39273</v>
      </c>
      <c r="L294" s="159">
        <v>45490</v>
      </c>
      <c r="M294" s="160">
        <v>45505</v>
      </c>
      <c r="N294" s="160">
        <v>47330</v>
      </c>
    </row>
    <row r="295" spans="1:14" s="9" customFormat="1" ht="24.95" customHeight="1">
      <c r="A295" s="76">
        <v>12</v>
      </c>
      <c r="B295" s="149" t="s">
        <v>291</v>
      </c>
      <c r="C295" s="108" t="s">
        <v>59</v>
      </c>
      <c r="D295" s="153" t="s">
        <v>1833</v>
      </c>
      <c r="E295" s="157" t="s">
        <v>599</v>
      </c>
      <c r="F295" s="87" t="s">
        <v>20</v>
      </c>
      <c r="G295" s="156">
        <v>30324</v>
      </c>
      <c r="H295" s="165" t="s">
        <v>598</v>
      </c>
      <c r="I295" s="166" t="s">
        <v>22</v>
      </c>
      <c r="J295" s="108" t="s">
        <v>62</v>
      </c>
      <c r="K295" s="167">
        <v>43193</v>
      </c>
      <c r="L295" s="167">
        <v>45810</v>
      </c>
      <c r="M295" s="160">
        <v>45108</v>
      </c>
      <c r="N295" s="160">
        <v>46934</v>
      </c>
    </row>
    <row r="296" spans="1:14" s="9" customFormat="1" ht="24.95" customHeight="1">
      <c r="A296" s="76">
        <v>13</v>
      </c>
      <c r="B296" s="149" t="s">
        <v>320</v>
      </c>
      <c r="C296" s="108" t="s">
        <v>129</v>
      </c>
      <c r="D296" s="153" t="s">
        <v>600</v>
      </c>
      <c r="E296" s="108" t="s">
        <v>601</v>
      </c>
      <c r="F296" s="87" t="s">
        <v>29</v>
      </c>
      <c r="G296" s="156">
        <v>23627</v>
      </c>
      <c r="H296" s="165" t="s">
        <v>598</v>
      </c>
      <c r="I296" s="166" t="s">
        <v>22</v>
      </c>
      <c r="J296" s="108" t="s">
        <v>62</v>
      </c>
      <c r="K296" s="167">
        <v>34335</v>
      </c>
      <c r="L296" s="167">
        <v>44105</v>
      </c>
      <c r="M296" s="160">
        <v>45108</v>
      </c>
      <c r="N296" s="160">
        <v>46934</v>
      </c>
    </row>
    <row r="297" spans="1:14" s="9" customFormat="1" ht="24.95" customHeight="1">
      <c r="A297" s="76">
        <v>14</v>
      </c>
      <c r="B297" s="149" t="s">
        <v>320</v>
      </c>
      <c r="C297" s="108" t="s">
        <v>129</v>
      </c>
      <c r="D297" s="153" t="s">
        <v>602</v>
      </c>
      <c r="E297" s="158" t="s">
        <v>603</v>
      </c>
      <c r="F297" s="87" t="s">
        <v>29</v>
      </c>
      <c r="G297" s="156">
        <v>31286</v>
      </c>
      <c r="H297" s="165" t="s">
        <v>598</v>
      </c>
      <c r="I297" s="166" t="s">
        <v>22</v>
      </c>
      <c r="J297" s="108" t="s">
        <v>62</v>
      </c>
      <c r="K297" s="167">
        <v>42706</v>
      </c>
      <c r="L297" s="167">
        <v>44105</v>
      </c>
      <c r="M297" s="160">
        <v>45108</v>
      </c>
      <c r="N297" s="160">
        <v>46934</v>
      </c>
    </row>
    <row r="298" spans="1:14" s="9" customFormat="1" ht="24.95" customHeight="1">
      <c r="A298" s="76">
        <v>15</v>
      </c>
      <c r="B298" s="149" t="s">
        <v>320</v>
      </c>
      <c r="C298" s="108" t="s">
        <v>129</v>
      </c>
      <c r="D298" s="153" t="s">
        <v>604</v>
      </c>
      <c r="E298" s="108" t="s">
        <v>605</v>
      </c>
      <c r="F298" s="87" t="s">
        <v>20</v>
      </c>
      <c r="G298" s="156">
        <v>21963</v>
      </c>
      <c r="H298" s="165" t="s">
        <v>598</v>
      </c>
      <c r="I298" s="166" t="s">
        <v>22</v>
      </c>
      <c r="J298" s="108" t="s">
        <v>62</v>
      </c>
      <c r="K298" s="167">
        <v>34335</v>
      </c>
      <c r="L298" s="167">
        <v>41609</v>
      </c>
      <c r="M298" s="160">
        <f>$N$298</f>
        <v>46435</v>
      </c>
      <c r="N298" s="160">
        <v>46435</v>
      </c>
    </row>
    <row r="299" spans="1:14" s="10" customFormat="1" ht="24.95" customHeight="1">
      <c r="A299" s="76">
        <v>16</v>
      </c>
      <c r="B299" s="149" t="s">
        <v>524</v>
      </c>
      <c r="C299" s="108" t="s">
        <v>123</v>
      </c>
      <c r="D299" s="153" t="s">
        <v>606</v>
      </c>
      <c r="E299" s="108" t="s">
        <v>607</v>
      </c>
      <c r="F299" s="87" t="s">
        <v>29</v>
      </c>
      <c r="G299" s="156">
        <v>27878</v>
      </c>
      <c r="H299" s="165" t="s">
        <v>598</v>
      </c>
      <c r="I299" s="166" t="s">
        <v>22</v>
      </c>
      <c r="J299" s="108" t="s">
        <v>62</v>
      </c>
      <c r="K299" s="167">
        <v>42095</v>
      </c>
      <c r="L299" s="167">
        <v>42095</v>
      </c>
      <c r="M299" s="160">
        <v>45474</v>
      </c>
      <c r="N299" s="160">
        <v>47299</v>
      </c>
    </row>
    <row r="300" spans="1:14" s="10" customFormat="1" ht="24.95" customHeight="1">
      <c r="A300" s="76">
        <v>17</v>
      </c>
      <c r="B300" s="149" t="s">
        <v>524</v>
      </c>
      <c r="C300" s="108" t="s">
        <v>123</v>
      </c>
      <c r="D300" s="153" t="s">
        <v>608</v>
      </c>
      <c r="E300" s="108" t="s">
        <v>609</v>
      </c>
      <c r="F300" s="87" t="s">
        <v>20</v>
      </c>
      <c r="G300" s="156">
        <v>30985</v>
      </c>
      <c r="H300" s="165" t="s">
        <v>598</v>
      </c>
      <c r="I300" s="166" t="s">
        <v>22</v>
      </c>
      <c r="J300" s="108" t="s">
        <v>62</v>
      </c>
      <c r="K300" s="167">
        <v>42767</v>
      </c>
      <c r="L300" s="167">
        <v>42767</v>
      </c>
      <c r="M300" s="160">
        <v>45108</v>
      </c>
      <c r="N300" s="160">
        <v>46934</v>
      </c>
    </row>
    <row r="301" spans="1:14" s="10" customFormat="1" ht="24.95" customHeight="1">
      <c r="A301" s="76"/>
      <c r="B301" s="149" t="s">
        <v>524</v>
      </c>
      <c r="C301" s="108" t="s">
        <v>123</v>
      </c>
      <c r="D301" s="153" t="s">
        <v>610</v>
      </c>
      <c r="E301" s="266" t="s">
        <v>611</v>
      </c>
      <c r="F301" s="87" t="s">
        <v>20</v>
      </c>
      <c r="G301" s="156">
        <v>29774</v>
      </c>
      <c r="H301" s="165" t="s">
        <v>612</v>
      </c>
      <c r="I301" s="166" t="s">
        <v>22</v>
      </c>
      <c r="J301" s="108" t="s">
        <v>62</v>
      </c>
      <c r="K301" s="167">
        <v>43601</v>
      </c>
      <c r="L301" s="167">
        <v>43601</v>
      </c>
      <c r="M301" s="160">
        <v>45474</v>
      </c>
      <c r="N301" s="160">
        <v>47299</v>
      </c>
    </row>
    <row r="302" spans="1:14" s="10" customFormat="1" ht="24.95" customHeight="1">
      <c r="A302" s="76"/>
      <c r="B302" s="149" t="s">
        <v>524</v>
      </c>
      <c r="C302" s="108" t="s">
        <v>123</v>
      </c>
      <c r="D302" s="153" t="s">
        <v>613</v>
      </c>
      <c r="E302" s="87" t="s">
        <v>614</v>
      </c>
      <c r="F302" s="87" t="s">
        <v>20</v>
      </c>
      <c r="G302" s="154">
        <v>32220</v>
      </c>
      <c r="H302" s="165" t="s">
        <v>612</v>
      </c>
      <c r="I302" s="166" t="s">
        <v>22</v>
      </c>
      <c r="J302" s="108" t="s">
        <v>62</v>
      </c>
      <c r="K302" s="183">
        <v>45411</v>
      </c>
      <c r="L302" s="183">
        <v>45411</v>
      </c>
      <c r="M302" s="183">
        <v>45415</v>
      </c>
      <c r="N302" s="160">
        <v>47238</v>
      </c>
    </row>
    <row r="303" spans="1:14" s="9" customFormat="1" ht="24.95" customHeight="1">
      <c r="A303" s="76">
        <v>19</v>
      </c>
      <c r="B303" s="149" t="s">
        <v>524</v>
      </c>
      <c r="C303" s="108" t="s">
        <v>123</v>
      </c>
      <c r="D303" s="24" t="s">
        <v>615</v>
      </c>
      <c r="E303" s="26" t="s">
        <v>616</v>
      </c>
      <c r="F303" s="46" t="s">
        <v>29</v>
      </c>
      <c r="G303" s="48">
        <v>29354</v>
      </c>
      <c r="H303" s="165" t="s">
        <v>612</v>
      </c>
      <c r="I303" s="63" t="s">
        <v>22</v>
      </c>
      <c r="J303" s="26" t="s">
        <v>62</v>
      </c>
      <c r="K303" s="64">
        <v>41334</v>
      </c>
      <c r="L303" s="64">
        <v>45490</v>
      </c>
      <c r="M303" s="62">
        <v>45108</v>
      </c>
      <c r="N303" s="62">
        <v>46934</v>
      </c>
    </row>
    <row r="304" spans="1:14" s="9" customFormat="1" ht="24.95" customHeight="1">
      <c r="A304" s="76">
        <v>20</v>
      </c>
      <c r="B304" s="149" t="s">
        <v>360</v>
      </c>
      <c r="C304" s="108" t="s">
        <v>67</v>
      </c>
      <c r="D304" s="24" t="s">
        <v>1250</v>
      </c>
      <c r="E304" s="26" t="s">
        <v>1251</v>
      </c>
      <c r="F304" s="46" t="s">
        <v>20</v>
      </c>
      <c r="G304" s="48">
        <v>29083</v>
      </c>
      <c r="H304" s="165" t="s">
        <v>598</v>
      </c>
      <c r="I304" s="63" t="s">
        <v>22</v>
      </c>
      <c r="J304" s="26" t="s">
        <v>70</v>
      </c>
      <c r="K304" s="64">
        <v>42740</v>
      </c>
      <c r="L304" s="64">
        <v>45747</v>
      </c>
      <c r="M304" s="65">
        <v>45755</v>
      </c>
      <c r="N304" s="65">
        <v>47579</v>
      </c>
    </row>
    <row r="305" spans="1:14" s="11" customFormat="1" ht="24.95" customHeight="1">
      <c r="A305" s="5"/>
      <c r="B305" s="149" t="s">
        <v>617</v>
      </c>
      <c r="C305" s="108" t="s">
        <v>67</v>
      </c>
      <c r="D305" s="153" t="s">
        <v>619</v>
      </c>
      <c r="E305" s="108" t="s">
        <v>620</v>
      </c>
      <c r="F305" s="87" t="s">
        <v>29</v>
      </c>
      <c r="G305" s="156">
        <v>24708</v>
      </c>
      <c r="H305" s="165" t="s">
        <v>598</v>
      </c>
      <c r="I305" s="166" t="s">
        <v>22</v>
      </c>
      <c r="J305" s="108" t="s">
        <v>70</v>
      </c>
      <c r="K305" s="167">
        <v>34335</v>
      </c>
      <c r="L305" s="167">
        <v>42795</v>
      </c>
      <c r="M305" s="160">
        <v>45108</v>
      </c>
      <c r="N305" s="160">
        <v>46684</v>
      </c>
    </row>
    <row r="306" spans="1:14" s="11" customFormat="1" ht="24.95" customHeight="1">
      <c r="A306" s="76"/>
      <c r="B306" s="149" t="s">
        <v>621</v>
      </c>
      <c r="C306" s="108" t="s">
        <v>279</v>
      </c>
      <c r="D306" s="297" t="s">
        <v>623</v>
      </c>
      <c r="E306" s="108" t="s">
        <v>624</v>
      </c>
      <c r="F306" s="87" t="s">
        <v>20</v>
      </c>
      <c r="G306" s="156">
        <v>24385</v>
      </c>
      <c r="H306" s="165" t="s">
        <v>598</v>
      </c>
      <c r="I306" s="166" t="s">
        <v>22</v>
      </c>
      <c r="J306" s="108" t="s">
        <v>70</v>
      </c>
      <c r="K306" s="167">
        <v>34335</v>
      </c>
      <c r="L306" s="167">
        <v>42795</v>
      </c>
      <c r="M306" s="160">
        <v>45108</v>
      </c>
      <c r="N306" s="160">
        <v>46300</v>
      </c>
    </row>
    <row r="307" spans="1:14" s="9" customFormat="1" ht="24.95" customHeight="1">
      <c r="A307" s="76"/>
      <c r="B307" s="150" t="s">
        <v>1876</v>
      </c>
      <c r="C307" s="108"/>
      <c r="D307" s="298" t="s">
        <v>52</v>
      </c>
      <c r="E307" s="108"/>
      <c r="F307" s="87"/>
      <c r="G307" s="156"/>
      <c r="H307" s="165"/>
      <c r="I307" s="166"/>
      <c r="J307" s="108"/>
      <c r="K307" s="167"/>
      <c r="L307" s="167"/>
      <c r="M307" s="160"/>
      <c r="N307" s="160"/>
    </row>
    <row r="308" spans="1:14" s="9" customFormat="1" ht="24.95" customHeight="1">
      <c r="A308" s="76"/>
      <c r="B308" s="149" t="s">
        <v>291</v>
      </c>
      <c r="C308" s="108" t="s">
        <v>59</v>
      </c>
      <c r="D308" s="102" t="s">
        <v>630</v>
      </c>
      <c r="E308" s="108" t="s">
        <v>631</v>
      </c>
      <c r="F308" s="87" t="s">
        <v>20</v>
      </c>
      <c r="G308" s="156">
        <v>24847</v>
      </c>
      <c r="H308" s="165" t="s">
        <v>598</v>
      </c>
      <c r="I308" s="166" t="s">
        <v>22</v>
      </c>
      <c r="J308" s="108" t="s">
        <v>62</v>
      </c>
      <c r="K308" s="167">
        <v>40513</v>
      </c>
      <c r="L308" s="167">
        <v>44743</v>
      </c>
      <c r="M308" s="160">
        <v>45108</v>
      </c>
      <c r="N308" s="160">
        <v>46934</v>
      </c>
    </row>
    <row r="309" spans="1:14" s="10" customFormat="1" ht="24.95" customHeight="1">
      <c r="A309" s="76"/>
      <c r="B309" s="149" t="s">
        <v>320</v>
      </c>
      <c r="C309" s="108" t="s">
        <v>129</v>
      </c>
      <c r="D309" s="153" t="s">
        <v>633</v>
      </c>
      <c r="E309" s="108" t="s">
        <v>634</v>
      </c>
      <c r="F309" s="87" t="s">
        <v>20</v>
      </c>
      <c r="G309" s="156">
        <v>24818</v>
      </c>
      <c r="H309" s="165" t="s">
        <v>598</v>
      </c>
      <c r="I309" s="166" t="s">
        <v>22</v>
      </c>
      <c r="J309" s="108" t="s">
        <v>62</v>
      </c>
      <c r="K309" s="167">
        <v>34335</v>
      </c>
      <c r="L309" s="167">
        <v>44440</v>
      </c>
      <c r="M309" s="160">
        <v>45108</v>
      </c>
      <c r="N309" s="160">
        <v>46934</v>
      </c>
    </row>
    <row r="310" spans="1:14" s="10" customFormat="1" ht="24.95" customHeight="1">
      <c r="A310" s="76"/>
      <c r="B310" s="149" t="s">
        <v>320</v>
      </c>
      <c r="C310" s="108" t="s">
        <v>129</v>
      </c>
      <c r="D310" s="102" t="s">
        <v>1944</v>
      </c>
      <c r="E310" s="108" t="s">
        <v>635</v>
      </c>
      <c r="F310" s="87" t="s">
        <v>20</v>
      </c>
      <c r="G310" s="156">
        <v>29170</v>
      </c>
      <c r="H310" s="165" t="s">
        <v>598</v>
      </c>
      <c r="I310" s="166" t="s">
        <v>22</v>
      </c>
      <c r="J310" s="108" t="s">
        <v>62</v>
      </c>
      <c r="K310" s="167">
        <v>41295</v>
      </c>
      <c r="L310" s="167">
        <v>42795</v>
      </c>
      <c r="M310" s="160">
        <v>45108</v>
      </c>
      <c r="N310" s="160">
        <v>46934</v>
      </c>
    </row>
    <row r="311" spans="1:14" s="10" customFormat="1" ht="24.95" customHeight="1">
      <c r="A311" s="83"/>
      <c r="B311" s="149" t="s">
        <v>524</v>
      </c>
      <c r="C311" s="108" t="s">
        <v>123</v>
      </c>
      <c r="D311" s="102" t="s">
        <v>638</v>
      </c>
      <c r="E311" s="108" t="s">
        <v>639</v>
      </c>
      <c r="F311" s="87" t="s">
        <v>20</v>
      </c>
      <c r="G311" s="156">
        <v>29476</v>
      </c>
      <c r="H311" s="165" t="s">
        <v>598</v>
      </c>
      <c r="I311" s="166" t="s">
        <v>22</v>
      </c>
      <c r="J311" s="108" t="s">
        <v>62</v>
      </c>
      <c r="K311" s="167">
        <v>43601</v>
      </c>
      <c r="L311" s="167">
        <v>43601</v>
      </c>
      <c r="M311" s="176">
        <v>45474</v>
      </c>
      <c r="N311" s="160">
        <v>47299</v>
      </c>
    </row>
    <row r="312" spans="1:14" s="10" customFormat="1" ht="24.95" customHeight="1">
      <c r="A312" s="83"/>
      <c r="B312" s="149" t="s">
        <v>524</v>
      </c>
      <c r="C312" s="108" t="s">
        <v>123</v>
      </c>
      <c r="D312" s="153" t="s">
        <v>640</v>
      </c>
      <c r="E312" s="87" t="s">
        <v>641</v>
      </c>
      <c r="F312" s="87" t="s">
        <v>20</v>
      </c>
      <c r="G312" s="176">
        <v>31933</v>
      </c>
      <c r="H312" s="186" t="s">
        <v>598</v>
      </c>
      <c r="I312" s="166" t="s">
        <v>22</v>
      </c>
      <c r="J312" s="108" t="s">
        <v>62</v>
      </c>
      <c r="K312" s="183"/>
      <c r="L312" s="183"/>
      <c r="M312" s="176"/>
      <c r="N312" s="176"/>
    </row>
    <row r="313" spans="1:14" s="9" customFormat="1" ht="24.95" customHeight="1">
      <c r="A313" s="149"/>
      <c r="B313" s="150" t="s">
        <v>1785</v>
      </c>
      <c r="C313" s="152"/>
      <c r="D313" s="102" t="s">
        <v>52</v>
      </c>
      <c r="E313" s="108"/>
      <c r="F313" s="87"/>
      <c r="G313" s="156"/>
      <c r="H313" s="165"/>
      <c r="I313" s="166"/>
      <c r="J313" s="108"/>
      <c r="K313" s="119"/>
      <c r="L313" s="119"/>
      <c r="M313" s="119"/>
      <c r="N313" s="119"/>
    </row>
    <row r="314" spans="1:14" s="10" customFormat="1" ht="24.95" customHeight="1">
      <c r="A314" s="149">
        <v>1</v>
      </c>
      <c r="B314" s="149" t="s">
        <v>320</v>
      </c>
      <c r="C314" s="108" t="s">
        <v>129</v>
      </c>
      <c r="D314" s="24" t="s">
        <v>1947</v>
      </c>
      <c r="E314" s="27" t="s">
        <v>644</v>
      </c>
      <c r="F314" s="86" t="s">
        <v>29</v>
      </c>
      <c r="G314" s="154">
        <v>29121</v>
      </c>
      <c r="H314" s="165" t="s">
        <v>598</v>
      </c>
      <c r="I314" s="97" t="s">
        <v>22</v>
      </c>
      <c r="J314" s="27" t="s">
        <v>62</v>
      </c>
      <c r="K314" s="159">
        <v>39566</v>
      </c>
      <c r="L314" s="159">
        <v>43678</v>
      </c>
      <c r="M314" s="188"/>
      <c r="N314" s="188"/>
    </row>
    <row r="315" spans="1:14" s="10" customFormat="1" ht="24.95" customHeight="1">
      <c r="A315" s="149">
        <v>2</v>
      </c>
      <c r="B315" s="149" t="s">
        <v>320</v>
      </c>
      <c r="C315" s="108" t="s">
        <v>129</v>
      </c>
      <c r="D315" s="24" t="s">
        <v>1592</v>
      </c>
      <c r="E315" s="26" t="s">
        <v>1593</v>
      </c>
      <c r="F315" s="46" t="s">
        <v>20</v>
      </c>
      <c r="G315" s="48">
        <v>28187</v>
      </c>
      <c r="H315" s="165" t="s">
        <v>598</v>
      </c>
      <c r="I315" s="63" t="s">
        <v>22</v>
      </c>
      <c r="J315" s="26" t="s">
        <v>62</v>
      </c>
      <c r="K315" s="64">
        <v>41022</v>
      </c>
      <c r="L315" s="64">
        <v>45747</v>
      </c>
      <c r="M315" s="98">
        <v>45474</v>
      </c>
      <c r="N315" s="98">
        <v>47299</v>
      </c>
    </row>
    <row r="316" spans="1:14" s="10" customFormat="1" ht="24.95" customHeight="1">
      <c r="A316" s="486">
        <v>2</v>
      </c>
      <c r="B316" s="149" t="s">
        <v>524</v>
      </c>
      <c r="C316" s="108" t="s">
        <v>123</v>
      </c>
      <c r="D316" s="153" t="s">
        <v>647</v>
      </c>
      <c r="E316" s="87" t="s">
        <v>648</v>
      </c>
      <c r="F316" s="87" t="s">
        <v>20</v>
      </c>
      <c r="G316" s="176">
        <v>33048</v>
      </c>
      <c r="H316" s="186" t="s">
        <v>598</v>
      </c>
      <c r="I316" s="166" t="s">
        <v>22</v>
      </c>
      <c r="J316" s="108" t="s">
        <v>62</v>
      </c>
      <c r="K316" s="183">
        <v>43188</v>
      </c>
      <c r="L316" s="183">
        <v>43188</v>
      </c>
      <c r="M316" s="160">
        <v>45108</v>
      </c>
      <c r="N316" s="160">
        <v>46934</v>
      </c>
    </row>
    <row r="317" spans="1:14" s="10" customFormat="1" ht="24.95" customHeight="1">
      <c r="A317" s="149">
        <v>3</v>
      </c>
      <c r="B317" s="149" t="s">
        <v>524</v>
      </c>
      <c r="C317" s="108"/>
      <c r="D317" s="149" t="s">
        <v>1957</v>
      </c>
      <c r="E317" s="87"/>
      <c r="F317" s="87"/>
      <c r="G317" s="176"/>
      <c r="H317" s="186"/>
      <c r="I317" s="166"/>
      <c r="J317" s="108"/>
      <c r="K317" s="183"/>
      <c r="L317" s="183"/>
      <c r="M317" s="160"/>
      <c r="N317" s="160"/>
    </row>
    <row r="318" spans="1:14" s="9" customFormat="1" ht="24.95" customHeight="1">
      <c r="A318" s="149"/>
      <c r="B318" s="149" t="s">
        <v>621</v>
      </c>
      <c r="C318" s="108" t="s">
        <v>279</v>
      </c>
      <c r="D318" s="24" t="s">
        <v>625</v>
      </c>
      <c r="E318" s="27" t="s">
        <v>626</v>
      </c>
      <c r="F318" s="86" t="s">
        <v>29</v>
      </c>
      <c r="G318" s="154">
        <v>32735</v>
      </c>
      <c r="H318" s="165" t="s">
        <v>598</v>
      </c>
      <c r="I318" s="97" t="s">
        <v>22</v>
      </c>
      <c r="J318" s="27" t="s">
        <v>70</v>
      </c>
      <c r="K318" s="159">
        <v>41066</v>
      </c>
      <c r="L318" s="159">
        <v>45392</v>
      </c>
      <c r="M318" s="160">
        <v>45474</v>
      </c>
      <c r="N318" s="160">
        <v>47299</v>
      </c>
    </row>
    <row r="319" spans="1:14" s="9" customFormat="1" ht="24.95" customHeight="1">
      <c r="A319" s="149"/>
      <c r="B319" s="149"/>
      <c r="C319" s="108"/>
      <c r="D319" s="10"/>
      <c r="E319" s="136"/>
      <c r="F319" s="136"/>
      <c r="G319" s="177"/>
      <c r="H319" s="136"/>
      <c r="I319" s="189"/>
      <c r="J319" s="189"/>
      <c r="K319" s="190"/>
      <c r="L319" s="190"/>
      <c r="M319" s="191"/>
      <c r="N319" s="191"/>
    </row>
    <row r="320" spans="1:14" s="9" customFormat="1" ht="24.95" customHeight="1">
      <c r="A320" s="168">
        <v>4</v>
      </c>
      <c r="B320" s="150" t="s">
        <v>649</v>
      </c>
      <c r="C320" s="151"/>
      <c r="D320" s="151"/>
      <c r="E320" s="171"/>
      <c r="F320" s="178"/>
      <c r="G320" s="179"/>
      <c r="H320" s="192"/>
      <c r="I320" s="193"/>
      <c r="J320" s="171"/>
      <c r="K320" s="190"/>
      <c r="L320" s="190"/>
      <c r="M320" s="191"/>
      <c r="N320" s="191"/>
    </row>
    <row r="321" spans="1:14" s="9" customFormat="1" ht="24.95" customHeight="1">
      <c r="A321" s="168"/>
      <c r="B321" s="173" t="s">
        <v>579</v>
      </c>
      <c r="C321" s="174"/>
      <c r="D321" s="173" t="s">
        <v>52</v>
      </c>
      <c r="E321" s="175"/>
      <c r="F321" s="175"/>
      <c r="G321" s="180"/>
      <c r="H321" s="194"/>
      <c r="I321" s="175"/>
      <c r="J321" s="175"/>
      <c r="K321" s="10"/>
      <c r="L321" s="10"/>
      <c r="M321" s="10"/>
      <c r="N321" s="10"/>
    </row>
    <row r="322" spans="1:14" s="9" customFormat="1" ht="24.95" customHeight="1">
      <c r="A322" s="168"/>
      <c r="B322" s="149" t="s">
        <v>650</v>
      </c>
      <c r="C322" s="108" t="s">
        <v>55</v>
      </c>
      <c r="D322" s="298" t="s">
        <v>651</v>
      </c>
      <c r="E322" s="87" t="s">
        <v>652</v>
      </c>
      <c r="F322" s="87" t="s">
        <v>20</v>
      </c>
      <c r="G322" s="156">
        <v>24823</v>
      </c>
      <c r="H322" s="165" t="s">
        <v>598</v>
      </c>
      <c r="I322" s="166" t="s">
        <v>22</v>
      </c>
      <c r="J322" s="108" t="s">
        <v>23</v>
      </c>
      <c r="K322" s="167">
        <v>39566</v>
      </c>
      <c r="L322" s="167">
        <v>43374</v>
      </c>
      <c r="M322" s="160">
        <v>45200</v>
      </c>
      <c r="N322" s="160">
        <v>47026</v>
      </c>
    </row>
    <row r="323" spans="1:14" s="12" customFormat="1" ht="24.95" customHeight="1">
      <c r="A323" s="168"/>
      <c r="B323" s="149" t="s">
        <v>205</v>
      </c>
      <c r="C323" s="108" t="s">
        <v>35</v>
      </c>
      <c r="D323" s="449" t="s">
        <v>653</v>
      </c>
      <c r="E323" s="46" t="s">
        <v>654</v>
      </c>
      <c r="F323" s="46" t="s">
        <v>29</v>
      </c>
      <c r="G323" s="48">
        <v>25978</v>
      </c>
      <c r="H323" s="166" t="s">
        <v>598</v>
      </c>
      <c r="I323" s="63" t="s">
        <v>22</v>
      </c>
      <c r="J323" s="26" t="s">
        <v>30</v>
      </c>
      <c r="K323" s="64">
        <v>35682</v>
      </c>
      <c r="L323" s="64">
        <v>39661</v>
      </c>
      <c r="M323" s="62">
        <v>45108</v>
      </c>
      <c r="N323" s="62">
        <v>46934</v>
      </c>
    </row>
    <row r="324" spans="1:14" s="10" customFormat="1" ht="24.95" customHeight="1">
      <c r="A324" s="168"/>
      <c r="B324" s="169" t="s">
        <v>655</v>
      </c>
      <c r="C324" s="108" t="s">
        <v>35</v>
      </c>
      <c r="E324" s="278"/>
      <c r="F324" s="278"/>
      <c r="G324" s="278"/>
      <c r="H324" s="278"/>
      <c r="I324" s="278"/>
      <c r="J324" s="278"/>
      <c r="K324" s="278"/>
      <c r="L324" s="278"/>
      <c r="M324" s="278"/>
      <c r="N324" s="278"/>
    </row>
    <row r="325" spans="1:14" s="10" customFormat="1" ht="24.95" customHeight="1">
      <c r="A325" s="168">
        <v>6</v>
      </c>
      <c r="B325" s="149" t="s">
        <v>74</v>
      </c>
      <c r="C325" s="108" t="s">
        <v>35</v>
      </c>
      <c r="D325" s="298" t="s">
        <v>658</v>
      </c>
      <c r="E325" s="181" t="s">
        <v>659</v>
      </c>
      <c r="F325" s="87" t="s">
        <v>29</v>
      </c>
      <c r="G325" s="156">
        <v>24429</v>
      </c>
      <c r="H325" s="165" t="s">
        <v>598</v>
      </c>
      <c r="I325" s="166" t="s">
        <v>22</v>
      </c>
      <c r="J325" s="108" t="s">
        <v>30</v>
      </c>
      <c r="K325" s="167">
        <v>39448</v>
      </c>
      <c r="L325" s="167">
        <v>45278</v>
      </c>
      <c r="M325" s="160">
        <v>45108</v>
      </c>
      <c r="N325" s="176">
        <v>46344</v>
      </c>
    </row>
    <row r="326" spans="1:14" s="10" customFormat="1" ht="24.95" customHeight="1">
      <c r="A326" s="149">
        <v>7</v>
      </c>
      <c r="B326" s="149" t="s">
        <v>190</v>
      </c>
      <c r="C326" s="108" t="s">
        <v>35</v>
      </c>
      <c r="D326" s="153" t="s">
        <v>660</v>
      </c>
      <c r="E326" s="108" t="s">
        <v>661</v>
      </c>
      <c r="F326" s="87" t="s">
        <v>29</v>
      </c>
      <c r="G326" s="156">
        <v>25043</v>
      </c>
      <c r="H326" s="165" t="s">
        <v>598</v>
      </c>
      <c r="I326" s="166" t="s">
        <v>22</v>
      </c>
      <c r="J326" s="108" t="s">
        <v>30</v>
      </c>
      <c r="K326" s="167">
        <v>35692</v>
      </c>
      <c r="L326" s="167">
        <v>41821</v>
      </c>
      <c r="M326" s="160">
        <v>45108</v>
      </c>
      <c r="N326" s="160" t="s">
        <v>1978</v>
      </c>
    </row>
    <row r="327" spans="1:14" s="10" customFormat="1" ht="24.95" customHeight="1">
      <c r="A327" s="149">
        <v>8</v>
      </c>
      <c r="B327" s="169" t="s">
        <v>662</v>
      </c>
      <c r="C327" s="87" t="s">
        <v>41</v>
      </c>
      <c r="D327" s="149" t="s">
        <v>663</v>
      </c>
      <c r="E327" s="108" t="s">
        <v>664</v>
      </c>
      <c r="F327" s="87" t="s">
        <v>29</v>
      </c>
      <c r="G327" s="156">
        <v>29747</v>
      </c>
      <c r="H327" s="165" t="s">
        <v>598</v>
      </c>
      <c r="I327" s="166" t="s">
        <v>22</v>
      </c>
      <c r="J327" s="108" t="s">
        <v>30</v>
      </c>
      <c r="K327" s="167">
        <v>42737</v>
      </c>
      <c r="L327" s="167">
        <v>42737</v>
      </c>
      <c r="M327" s="160">
        <v>45108</v>
      </c>
      <c r="N327" s="160">
        <v>46934</v>
      </c>
    </row>
    <row r="328" spans="1:14" s="10" customFormat="1" ht="24.95" customHeight="1">
      <c r="A328" s="168"/>
      <c r="B328" s="169" t="s">
        <v>173</v>
      </c>
      <c r="C328" s="108" t="s">
        <v>67</v>
      </c>
      <c r="D328" s="102" t="s">
        <v>665</v>
      </c>
      <c r="E328" s="108" t="s">
        <v>666</v>
      </c>
      <c r="F328" s="87" t="s">
        <v>20</v>
      </c>
      <c r="G328" s="156">
        <v>32002</v>
      </c>
      <c r="H328" s="165" t="s">
        <v>598</v>
      </c>
      <c r="I328" s="166" t="s">
        <v>22</v>
      </c>
      <c r="J328" s="108" t="s">
        <v>30</v>
      </c>
      <c r="K328" s="167">
        <v>42383</v>
      </c>
      <c r="L328" s="167">
        <v>42383</v>
      </c>
      <c r="M328" s="160">
        <v>45839</v>
      </c>
      <c r="N328" s="160">
        <v>47664</v>
      </c>
    </row>
    <row r="329" spans="1:14" s="10" customFormat="1" ht="24.95" customHeight="1">
      <c r="A329" s="149">
        <v>2</v>
      </c>
      <c r="B329" s="169" t="s">
        <v>898</v>
      </c>
      <c r="C329" s="87" t="s">
        <v>41</v>
      </c>
      <c r="D329" s="149" t="s">
        <v>667</v>
      </c>
      <c r="E329" s="108" t="s">
        <v>668</v>
      </c>
      <c r="F329" s="87" t="s">
        <v>29</v>
      </c>
      <c r="G329" s="156">
        <v>24909</v>
      </c>
      <c r="H329" s="165" t="s">
        <v>598</v>
      </c>
      <c r="I329" s="166" t="s">
        <v>22</v>
      </c>
      <c r="J329" s="108" t="s">
        <v>30</v>
      </c>
      <c r="K329" s="167">
        <v>35685</v>
      </c>
      <c r="L329" s="167">
        <v>42795</v>
      </c>
      <c r="M329" s="160">
        <v>45108</v>
      </c>
      <c r="N329" s="160">
        <v>46842</v>
      </c>
    </row>
    <row r="330" spans="1:14" s="10" customFormat="1" ht="24.95" customHeight="1">
      <c r="A330" s="149">
        <v>3</v>
      </c>
      <c r="B330" s="169" t="s">
        <v>216</v>
      </c>
      <c r="C330" s="87" t="s">
        <v>41</v>
      </c>
      <c r="D330" s="149" t="s">
        <v>669</v>
      </c>
      <c r="E330" s="87" t="s">
        <v>670</v>
      </c>
      <c r="F330" s="87" t="s">
        <v>20</v>
      </c>
      <c r="G330" s="156">
        <v>28688</v>
      </c>
      <c r="H330" s="165" t="s">
        <v>598</v>
      </c>
      <c r="I330" s="166" t="s">
        <v>22</v>
      </c>
      <c r="J330" s="87" t="s">
        <v>30</v>
      </c>
      <c r="K330" s="167">
        <v>38811</v>
      </c>
      <c r="L330" s="167">
        <v>41456</v>
      </c>
      <c r="M330" s="160">
        <v>45108</v>
      </c>
      <c r="N330" s="160">
        <v>46458</v>
      </c>
    </row>
    <row r="331" spans="1:14" s="10" customFormat="1" ht="24.95" customHeight="1">
      <c r="A331" s="149"/>
      <c r="B331" s="169" t="s">
        <v>221</v>
      </c>
      <c r="C331" s="87" t="s">
        <v>41</v>
      </c>
      <c r="D331" s="153" t="s">
        <v>671</v>
      </c>
      <c r="E331" s="157" t="s">
        <v>672</v>
      </c>
      <c r="F331" s="87" t="s">
        <v>29</v>
      </c>
      <c r="G331" s="156">
        <v>33614</v>
      </c>
      <c r="H331" s="165" t="s">
        <v>598</v>
      </c>
      <c r="I331" s="166" t="s">
        <v>22</v>
      </c>
      <c r="J331" s="108" t="s">
        <v>30</v>
      </c>
      <c r="K331" s="167">
        <v>43076</v>
      </c>
      <c r="L331" s="167">
        <v>45278</v>
      </c>
      <c r="M331" s="160">
        <v>45108</v>
      </c>
      <c r="N331" s="160">
        <v>46934</v>
      </c>
    </row>
    <row r="332" spans="1:14" s="10" customFormat="1" ht="24.95" customHeight="1">
      <c r="A332" s="149">
        <v>4</v>
      </c>
      <c r="B332" s="149" t="s">
        <v>84</v>
      </c>
      <c r="C332" s="108" t="s">
        <v>85</v>
      </c>
      <c r="D332" s="102" t="s">
        <v>673</v>
      </c>
      <c r="E332" s="87" t="s">
        <v>674</v>
      </c>
      <c r="F332" s="87" t="s">
        <v>29</v>
      </c>
      <c r="G332" s="176">
        <v>34094</v>
      </c>
      <c r="H332" s="186" t="s">
        <v>598</v>
      </c>
      <c r="I332" s="166" t="s">
        <v>22</v>
      </c>
      <c r="J332" s="108" t="s">
        <v>30</v>
      </c>
      <c r="K332" s="183">
        <v>44348</v>
      </c>
      <c r="L332" s="183">
        <v>45278</v>
      </c>
      <c r="M332" s="160">
        <v>45108</v>
      </c>
      <c r="N332" s="160">
        <v>46934</v>
      </c>
    </row>
    <row r="333" spans="1:14" s="10" customFormat="1" ht="24.95" customHeight="1">
      <c r="A333" s="149"/>
      <c r="B333" s="149" t="s">
        <v>226</v>
      </c>
      <c r="C333" s="108" t="s">
        <v>85</v>
      </c>
      <c r="D333" s="24" t="s">
        <v>675</v>
      </c>
      <c r="E333" s="27" t="s">
        <v>676</v>
      </c>
      <c r="F333" s="86" t="s">
        <v>20</v>
      </c>
      <c r="G333" s="154">
        <v>27262</v>
      </c>
      <c r="H333" s="186" t="s">
        <v>598</v>
      </c>
      <c r="I333" s="97" t="s">
        <v>22</v>
      </c>
      <c r="J333" s="27" t="s">
        <v>30</v>
      </c>
      <c r="K333" s="159">
        <v>41196</v>
      </c>
      <c r="L333" s="159">
        <v>41196</v>
      </c>
      <c r="M333" s="160">
        <v>44933</v>
      </c>
      <c r="N333" s="160" t="s">
        <v>551</v>
      </c>
    </row>
    <row r="334" spans="1:14" s="10" customFormat="1" ht="24.95" customHeight="1">
      <c r="A334" s="168"/>
      <c r="B334" s="149" t="s">
        <v>44</v>
      </c>
      <c r="C334" s="108" t="s">
        <v>45</v>
      </c>
      <c r="D334" s="153" t="s">
        <v>677</v>
      </c>
      <c r="E334" s="157" t="s">
        <v>678</v>
      </c>
      <c r="F334" s="87" t="s">
        <v>20</v>
      </c>
      <c r="G334" s="156">
        <v>30850</v>
      </c>
      <c r="H334" s="165" t="s">
        <v>598</v>
      </c>
      <c r="I334" s="166" t="s">
        <v>22</v>
      </c>
      <c r="J334" s="108" t="s">
        <v>50</v>
      </c>
      <c r="K334" s="167">
        <v>43290</v>
      </c>
      <c r="L334" s="167">
        <v>43290</v>
      </c>
      <c r="M334" s="160">
        <v>45108</v>
      </c>
      <c r="N334" s="160">
        <v>46934</v>
      </c>
    </row>
    <row r="335" spans="1:14" s="10" customFormat="1" ht="24.95" customHeight="1">
      <c r="A335" s="168">
        <v>2</v>
      </c>
      <c r="B335" s="149" t="s">
        <v>44</v>
      </c>
      <c r="C335" s="108" t="s">
        <v>45</v>
      </c>
      <c r="D335" s="153" t="s">
        <v>679</v>
      </c>
      <c r="E335" s="108" t="s">
        <v>680</v>
      </c>
      <c r="F335" s="87" t="s">
        <v>20</v>
      </c>
      <c r="G335" s="156">
        <v>29640</v>
      </c>
      <c r="H335" s="165" t="s">
        <v>598</v>
      </c>
      <c r="I335" s="166" t="s">
        <v>22</v>
      </c>
      <c r="J335" s="108" t="s">
        <v>50</v>
      </c>
      <c r="K335" s="167">
        <v>43482</v>
      </c>
      <c r="L335" s="167">
        <v>43482</v>
      </c>
      <c r="M335" s="160">
        <v>45474</v>
      </c>
      <c r="N335" s="160">
        <v>47299</v>
      </c>
    </row>
    <row r="336" spans="1:14" s="10" customFormat="1" ht="24.95" customHeight="1">
      <c r="A336" s="149">
        <v>3</v>
      </c>
      <c r="B336" s="149" t="s">
        <v>44</v>
      </c>
      <c r="C336" s="108" t="s">
        <v>681</v>
      </c>
      <c r="D336" s="153" t="s">
        <v>682</v>
      </c>
      <c r="E336" s="108" t="s">
        <v>683</v>
      </c>
      <c r="F336" s="87" t="s">
        <v>20</v>
      </c>
      <c r="G336" s="156">
        <v>27388</v>
      </c>
      <c r="H336" s="165" t="s">
        <v>598</v>
      </c>
      <c r="I336" s="166" t="s">
        <v>22</v>
      </c>
      <c r="J336" s="108" t="s">
        <v>50</v>
      </c>
      <c r="K336" s="167">
        <v>40694</v>
      </c>
      <c r="L336" s="167">
        <v>40694</v>
      </c>
      <c r="M336" s="160">
        <v>45474</v>
      </c>
      <c r="N336" s="160">
        <v>47299</v>
      </c>
    </row>
    <row r="337" spans="1:14" s="10" customFormat="1" ht="24.95" customHeight="1">
      <c r="A337" s="149"/>
      <c r="B337" s="149" t="s">
        <v>100</v>
      </c>
      <c r="C337" s="108" t="s">
        <v>47</v>
      </c>
      <c r="D337" s="153" t="s">
        <v>684</v>
      </c>
      <c r="E337" s="108" t="s">
        <v>685</v>
      </c>
      <c r="F337" s="87" t="s">
        <v>20</v>
      </c>
      <c r="G337" s="156">
        <v>29976</v>
      </c>
      <c r="H337" s="165" t="s">
        <v>598</v>
      </c>
      <c r="I337" s="166" t="s">
        <v>22</v>
      </c>
      <c r="J337" s="108" t="s">
        <v>50</v>
      </c>
      <c r="K337" s="167">
        <v>38709</v>
      </c>
      <c r="L337" s="167">
        <v>38709</v>
      </c>
      <c r="M337" s="160">
        <v>45108</v>
      </c>
      <c r="N337" s="160">
        <v>46934</v>
      </c>
    </row>
    <row r="338" spans="1:14" s="10" customFormat="1" ht="24.95" customHeight="1">
      <c r="A338" s="149"/>
      <c r="B338" s="149" t="s">
        <v>100</v>
      </c>
      <c r="C338" s="108"/>
      <c r="D338" s="153" t="s">
        <v>1899</v>
      </c>
      <c r="E338" s="466" t="s">
        <v>1943</v>
      </c>
      <c r="F338" s="87" t="s">
        <v>20</v>
      </c>
      <c r="G338" s="156">
        <v>35714</v>
      </c>
      <c r="H338" s="165" t="s">
        <v>598</v>
      </c>
      <c r="I338" s="166" t="s">
        <v>22</v>
      </c>
      <c r="J338" s="108" t="s">
        <v>50</v>
      </c>
      <c r="K338" s="167">
        <v>46086</v>
      </c>
      <c r="L338" s="167">
        <v>46086</v>
      </c>
      <c r="M338" s="160">
        <v>46113</v>
      </c>
      <c r="N338" s="160">
        <v>47938</v>
      </c>
    </row>
    <row r="339" spans="1:14" s="10" customFormat="1" ht="24.95" customHeight="1">
      <c r="A339" s="279"/>
      <c r="B339" s="150" t="s">
        <v>686</v>
      </c>
      <c r="E339" s="125"/>
      <c r="F339" s="125"/>
      <c r="G339" s="182"/>
      <c r="H339" s="197"/>
      <c r="I339" s="125"/>
      <c r="J339" s="125"/>
      <c r="K339" s="195"/>
      <c r="L339" s="195"/>
      <c r="M339" s="196"/>
      <c r="N339" s="196"/>
    </row>
    <row r="340" spans="1:14" s="10" customFormat="1" ht="24.95" customHeight="1">
      <c r="A340" s="149"/>
      <c r="B340" s="83" t="s">
        <v>687</v>
      </c>
      <c r="C340" s="125"/>
      <c r="D340" s="83" t="s">
        <v>52</v>
      </c>
      <c r="E340" s="125"/>
      <c r="F340" s="125"/>
      <c r="G340" s="182"/>
      <c r="H340" s="197"/>
      <c r="I340" s="125"/>
      <c r="J340" s="125"/>
      <c r="K340" s="195"/>
      <c r="L340" s="195"/>
      <c r="M340" s="196"/>
      <c r="N340" s="196"/>
    </row>
    <row r="341" spans="1:14" ht="24.95" customHeight="1">
      <c r="A341" s="170"/>
      <c r="B341" s="137" t="s">
        <v>688</v>
      </c>
      <c r="C341" s="125"/>
      <c r="D341" s="122" t="s">
        <v>52</v>
      </c>
      <c r="E341" s="126"/>
      <c r="F341" s="126"/>
      <c r="G341" s="133"/>
      <c r="H341" s="137"/>
      <c r="I341" s="126"/>
      <c r="J341" s="126"/>
      <c r="K341" s="138"/>
      <c r="L341" s="138"/>
      <c r="M341" s="139"/>
      <c r="N341" s="139"/>
    </row>
    <row r="342" spans="1:14" ht="24.95" customHeight="1">
      <c r="A342" s="172"/>
      <c r="B342" s="31" t="s">
        <v>689</v>
      </c>
      <c r="C342" s="27"/>
      <c r="D342" s="24"/>
      <c r="E342" s="26"/>
      <c r="F342" s="26"/>
      <c r="G342" s="43"/>
      <c r="H342" s="51"/>
      <c r="I342" s="52"/>
      <c r="J342" s="26"/>
      <c r="K342" s="100"/>
      <c r="L342" s="100"/>
      <c r="M342" s="62"/>
      <c r="N342" s="62"/>
    </row>
    <row r="343" spans="1:14" ht="24.95" customHeight="1">
      <c r="A343" s="168">
        <v>1</v>
      </c>
      <c r="B343" s="24" t="s">
        <v>291</v>
      </c>
      <c r="C343" s="27" t="s">
        <v>59</v>
      </c>
      <c r="D343" s="24" t="s">
        <v>690</v>
      </c>
      <c r="E343" s="26" t="s">
        <v>691</v>
      </c>
      <c r="F343" s="26" t="s">
        <v>20</v>
      </c>
      <c r="G343" s="43">
        <v>27222</v>
      </c>
      <c r="H343" s="51" t="s">
        <v>692</v>
      </c>
      <c r="I343" s="52" t="s">
        <v>22</v>
      </c>
      <c r="J343" s="26" t="s">
        <v>62</v>
      </c>
      <c r="K343" s="53">
        <v>39322</v>
      </c>
      <c r="L343" s="53">
        <v>44743</v>
      </c>
      <c r="M343" s="72">
        <v>45108</v>
      </c>
      <c r="N343" s="72">
        <v>46934</v>
      </c>
    </row>
    <row r="344" spans="1:14" ht="24.95" customHeight="1">
      <c r="A344" s="149">
        <v>2</v>
      </c>
      <c r="B344" s="24" t="s">
        <v>320</v>
      </c>
      <c r="C344" s="27" t="s">
        <v>129</v>
      </c>
      <c r="D344" s="24" t="s">
        <v>693</v>
      </c>
      <c r="E344" s="26" t="s">
        <v>694</v>
      </c>
      <c r="F344" s="26" t="s">
        <v>20</v>
      </c>
      <c r="G344" s="43">
        <v>23846</v>
      </c>
      <c r="H344" s="51" t="s">
        <v>692</v>
      </c>
      <c r="I344" s="52" t="s">
        <v>22</v>
      </c>
      <c r="J344" s="26" t="s">
        <v>62</v>
      </c>
      <c r="K344" s="53">
        <v>35285</v>
      </c>
      <c r="L344" s="53">
        <v>41395</v>
      </c>
      <c r="M344" s="72">
        <v>45474</v>
      </c>
      <c r="N344" s="72">
        <v>47299</v>
      </c>
    </row>
    <row r="345" spans="1:14" s="4" customFormat="1" ht="24.95" customHeight="1">
      <c r="A345" s="149">
        <v>3</v>
      </c>
      <c r="B345" s="24" t="s">
        <v>320</v>
      </c>
      <c r="C345" s="27" t="s">
        <v>632</v>
      </c>
      <c r="D345" s="24" t="s">
        <v>1961</v>
      </c>
      <c r="E345" s="26" t="s">
        <v>729</v>
      </c>
      <c r="F345" s="26" t="s">
        <v>29</v>
      </c>
      <c r="G345" s="43">
        <v>29529</v>
      </c>
      <c r="H345" s="51" t="s">
        <v>692</v>
      </c>
      <c r="I345" s="52" t="s">
        <v>22</v>
      </c>
      <c r="J345" s="26" t="s">
        <v>62</v>
      </c>
      <c r="K345" s="53">
        <v>42718</v>
      </c>
      <c r="L345" s="53">
        <v>44105</v>
      </c>
      <c r="M345" s="72">
        <v>45108</v>
      </c>
      <c r="N345" s="72">
        <v>46934</v>
      </c>
    </row>
    <row r="346" spans="1:14" ht="24.95" customHeight="1">
      <c r="A346" s="149">
        <v>4</v>
      </c>
      <c r="B346" s="24" t="s">
        <v>524</v>
      </c>
      <c r="C346" s="27" t="s">
        <v>123</v>
      </c>
      <c r="D346" s="24" t="s">
        <v>696</v>
      </c>
      <c r="E346" s="26" t="s">
        <v>697</v>
      </c>
      <c r="F346" s="26" t="s">
        <v>20</v>
      </c>
      <c r="G346" s="43">
        <v>32108</v>
      </c>
      <c r="H346" s="51" t="s">
        <v>692</v>
      </c>
      <c r="I346" s="52" t="s">
        <v>22</v>
      </c>
      <c r="J346" s="26" t="s">
        <v>62</v>
      </c>
      <c r="K346" s="53">
        <v>42702</v>
      </c>
      <c r="L346" s="53">
        <v>42702</v>
      </c>
      <c r="M346" s="72">
        <v>45108</v>
      </c>
      <c r="N346" s="72">
        <v>46934</v>
      </c>
    </row>
    <row r="347" spans="1:14" ht="24.95" customHeight="1">
      <c r="A347" s="149">
        <v>5</v>
      </c>
      <c r="B347" s="24" t="s">
        <v>524</v>
      </c>
      <c r="C347" s="27" t="s">
        <v>123</v>
      </c>
      <c r="D347" s="24" t="s">
        <v>698</v>
      </c>
      <c r="E347" s="27" t="s">
        <v>699</v>
      </c>
      <c r="F347" s="86" t="s">
        <v>20</v>
      </c>
      <c r="G347" s="88">
        <v>28033</v>
      </c>
      <c r="H347" s="97" t="s">
        <v>692</v>
      </c>
      <c r="I347" s="97" t="s">
        <v>22</v>
      </c>
      <c r="J347" s="27" t="s">
        <v>62</v>
      </c>
      <c r="K347" s="88">
        <v>41767</v>
      </c>
      <c r="L347" s="88">
        <v>41767</v>
      </c>
      <c r="M347" s="72">
        <v>45108</v>
      </c>
      <c r="N347" s="72">
        <v>46934</v>
      </c>
    </row>
    <row r="348" spans="1:14" ht="24.95" customHeight="1">
      <c r="A348" s="149">
        <v>6</v>
      </c>
      <c r="B348" s="24" t="s">
        <v>621</v>
      </c>
      <c r="C348" s="27" t="s">
        <v>279</v>
      </c>
      <c r="D348" s="24" t="s">
        <v>701</v>
      </c>
      <c r="E348" s="26" t="s">
        <v>702</v>
      </c>
      <c r="F348" s="26" t="s">
        <v>20</v>
      </c>
      <c r="G348" s="43">
        <v>26665</v>
      </c>
      <c r="H348" s="51" t="s">
        <v>692</v>
      </c>
      <c r="I348" s="52" t="s">
        <v>22</v>
      </c>
      <c r="J348" s="26" t="s">
        <v>70</v>
      </c>
      <c r="K348" s="53">
        <v>39904</v>
      </c>
      <c r="L348" s="53">
        <v>42795</v>
      </c>
      <c r="M348" s="72">
        <v>45108</v>
      </c>
      <c r="N348" s="72">
        <v>46934</v>
      </c>
    </row>
    <row r="349" spans="1:14" ht="24.95" customHeight="1">
      <c r="A349" s="149">
        <v>7</v>
      </c>
      <c r="B349" s="24" t="s">
        <v>621</v>
      </c>
      <c r="C349" s="27" t="s">
        <v>279</v>
      </c>
      <c r="D349" s="24" t="s">
        <v>703</v>
      </c>
      <c r="E349" s="26" t="s">
        <v>704</v>
      </c>
      <c r="F349" s="26" t="s">
        <v>29</v>
      </c>
      <c r="G349" s="43">
        <v>27001</v>
      </c>
      <c r="H349" s="51" t="s">
        <v>692</v>
      </c>
      <c r="I349" s="52" t="s">
        <v>22</v>
      </c>
      <c r="J349" s="26" t="s">
        <v>70</v>
      </c>
      <c r="K349" s="53">
        <v>39864</v>
      </c>
      <c r="L349" s="53">
        <v>42795</v>
      </c>
      <c r="M349" s="72">
        <v>45108</v>
      </c>
      <c r="N349" s="72">
        <v>46934</v>
      </c>
    </row>
    <row r="350" spans="1:14" ht="24.95" customHeight="1">
      <c r="A350" s="149"/>
      <c r="B350" s="24" t="s">
        <v>627</v>
      </c>
      <c r="C350" s="108" t="s">
        <v>287</v>
      </c>
      <c r="D350" s="24" t="s">
        <v>705</v>
      </c>
      <c r="E350" s="26" t="s">
        <v>706</v>
      </c>
      <c r="F350" s="26" t="s">
        <v>29</v>
      </c>
      <c r="G350" s="43">
        <v>29788</v>
      </c>
      <c r="H350" s="51" t="s">
        <v>692</v>
      </c>
      <c r="I350" s="52" t="s">
        <v>22</v>
      </c>
      <c r="J350" s="26" t="s">
        <v>70</v>
      </c>
      <c r="K350" s="53">
        <v>41017</v>
      </c>
      <c r="L350" s="53">
        <v>41017</v>
      </c>
      <c r="M350" s="72">
        <v>45839</v>
      </c>
      <c r="N350" s="72">
        <v>47664</v>
      </c>
    </row>
    <row r="351" spans="1:14" ht="24.95" customHeight="1">
      <c r="A351" s="149">
        <v>9</v>
      </c>
      <c r="B351" s="24" t="s">
        <v>627</v>
      </c>
      <c r="C351" s="108" t="s">
        <v>287</v>
      </c>
      <c r="D351" s="24" t="s">
        <v>707</v>
      </c>
      <c r="E351" s="26" t="s">
        <v>708</v>
      </c>
      <c r="F351" s="26" t="s">
        <v>29</v>
      </c>
      <c r="G351" s="43">
        <v>27380</v>
      </c>
      <c r="H351" s="51" t="s">
        <v>692</v>
      </c>
      <c r="I351" s="52" t="s">
        <v>22</v>
      </c>
      <c r="J351" s="26" t="s">
        <v>70</v>
      </c>
      <c r="K351" s="53">
        <v>41017</v>
      </c>
      <c r="L351" s="53">
        <v>41017</v>
      </c>
      <c r="M351" s="72">
        <v>45474</v>
      </c>
      <c r="N351" s="72">
        <v>47299</v>
      </c>
    </row>
    <row r="352" spans="1:14" s="3" customFormat="1" ht="24.95" customHeight="1">
      <c r="A352" s="149">
        <v>10</v>
      </c>
      <c r="B352" s="24" t="s">
        <v>627</v>
      </c>
      <c r="C352" s="108" t="s">
        <v>287</v>
      </c>
      <c r="D352" s="24" t="s">
        <v>709</v>
      </c>
      <c r="E352" s="26" t="s">
        <v>710</v>
      </c>
      <c r="F352" s="26" t="s">
        <v>29</v>
      </c>
      <c r="G352" s="43">
        <v>29310</v>
      </c>
      <c r="H352" s="51" t="s">
        <v>692</v>
      </c>
      <c r="I352" s="52" t="s">
        <v>22</v>
      </c>
      <c r="J352" s="26" t="s">
        <v>70</v>
      </c>
      <c r="K352" s="53">
        <v>41017</v>
      </c>
      <c r="L352" s="53">
        <v>41017</v>
      </c>
      <c r="M352" s="72">
        <v>45839</v>
      </c>
      <c r="N352" s="72">
        <v>47664</v>
      </c>
    </row>
    <row r="353" spans="1:14" s="3" customFormat="1" ht="24.95" customHeight="1">
      <c r="A353" s="149">
        <v>11</v>
      </c>
      <c r="B353" s="24" t="s">
        <v>360</v>
      </c>
      <c r="C353" s="27" t="s">
        <v>67</v>
      </c>
      <c r="D353" s="24" t="s">
        <v>711</v>
      </c>
      <c r="E353" s="26" t="s">
        <v>712</v>
      </c>
      <c r="F353" s="26" t="s">
        <v>20</v>
      </c>
      <c r="G353" s="43">
        <v>26709</v>
      </c>
      <c r="H353" s="51" t="s">
        <v>692</v>
      </c>
      <c r="I353" s="52" t="s">
        <v>22</v>
      </c>
      <c r="J353" s="26" t="s">
        <v>70</v>
      </c>
      <c r="K353" s="53">
        <v>39904</v>
      </c>
      <c r="L353" s="53">
        <v>43525</v>
      </c>
      <c r="M353" s="72">
        <v>45108</v>
      </c>
      <c r="N353" s="72">
        <v>46934</v>
      </c>
    </row>
    <row r="354" spans="1:14" ht="24.95" customHeight="1">
      <c r="A354" s="149">
        <v>12</v>
      </c>
      <c r="B354" s="197" t="s">
        <v>713</v>
      </c>
      <c r="C354" s="198"/>
      <c r="D354" s="83"/>
      <c r="E354" s="126"/>
      <c r="F354" s="126"/>
      <c r="G354" s="133"/>
      <c r="H354" s="137"/>
      <c r="I354" s="126"/>
      <c r="J354" s="126"/>
      <c r="K354" s="138"/>
      <c r="L354" s="138"/>
      <c r="M354" s="139"/>
      <c r="N354" s="139"/>
    </row>
    <row r="355" spans="1:14" ht="24.95" customHeight="1">
      <c r="A355" s="149">
        <v>13</v>
      </c>
      <c r="B355" s="24" t="s">
        <v>108</v>
      </c>
      <c r="C355" s="27" t="s">
        <v>109</v>
      </c>
      <c r="D355" s="24" t="s">
        <v>714</v>
      </c>
      <c r="E355" s="26" t="s">
        <v>715</v>
      </c>
      <c r="F355" s="26" t="s">
        <v>20</v>
      </c>
      <c r="G355" s="43">
        <v>24499</v>
      </c>
      <c r="H355" s="51" t="s">
        <v>692</v>
      </c>
      <c r="I355" s="52" t="s">
        <v>22</v>
      </c>
      <c r="J355" s="26" t="s">
        <v>62</v>
      </c>
      <c r="K355" s="53">
        <v>34740</v>
      </c>
      <c r="L355" s="53">
        <v>42217</v>
      </c>
      <c r="M355" s="55">
        <v>45108</v>
      </c>
      <c r="N355" s="55">
        <v>46934</v>
      </c>
    </row>
    <row r="356" spans="1:14" ht="24.95" customHeight="1">
      <c r="A356" s="5"/>
      <c r="B356" s="24" t="s">
        <v>291</v>
      </c>
      <c r="C356" s="27" t="s">
        <v>59</v>
      </c>
      <c r="D356" s="24" t="s">
        <v>716</v>
      </c>
      <c r="E356" s="26" t="s">
        <v>717</v>
      </c>
      <c r="F356" s="26" t="s">
        <v>20</v>
      </c>
      <c r="G356" s="43">
        <v>24605</v>
      </c>
      <c r="H356" s="51" t="s">
        <v>692</v>
      </c>
      <c r="I356" s="52" t="s">
        <v>22</v>
      </c>
      <c r="J356" s="26" t="s">
        <v>62</v>
      </c>
      <c r="K356" s="53">
        <v>38825</v>
      </c>
      <c r="L356" s="53">
        <v>44743</v>
      </c>
      <c r="M356" s="72">
        <v>45108</v>
      </c>
      <c r="N356" s="72">
        <v>46934</v>
      </c>
    </row>
    <row r="357" spans="1:14" ht="24.95" customHeight="1">
      <c r="A357" s="149"/>
      <c r="B357" s="24" t="s">
        <v>320</v>
      </c>
      <c r="C357" s="27" t="s">
        <v>129</v>
      </c>
      <c r="D357" s="24" t="s">
        <v>722</v>
      </c>
      <c r="E357" s="26" t="s">
        <v>723</v>
      </c>
      <c r="F357" s="26" t="s">
        <v>20</v>
      </c>
      <c r="G357" s="43">
        <v>29217</v>
      </c>
      <c r="H357" s="51" t="s">
        <v>692</v>
      </c>
      <c r="I357" s="52" t="s">
        <v>22</v>
      </c>
      <c r="J357" s="26" t="s">
        <v>62</v>
      </c>
      <c r="K357" s="53">
        <v>42093</v>
      </c>
      <c r="L357" s="53">
        <v>45810</v>
      </c>
      <c r="M357" s="72">
        <v>45474</v>
      </c>
      <c r="N357" s="72">
        <v>47299</v>
      </c>
    </row>
    <row r="358" spans="1:14" ht="24.95" customHeight="1">
      <c r="A358" s="149">
        <v>15</v>
      </c>
      <c r="B358" s="24" t="s">
        <v>320</v>
      </c>
      <c r="C358" s="27" t="s">
        <v>129</v>
      </c>
      <c r="D358" s="24" t="s">
        <v>1962</v>
      </c>
      <c r="E358" s="49" t="s">
        <v>718</v>
      </c>
      <c r="F358" s="26" t="s">
        <v>29</v>
      </c>
      <c r="G358" s="43">
        <v>29786</v>
      </c>
      <c r="H358" s="51" t="s">
        <v>692</v>
      </c>
      <c r="I358" s="52" t="s">
        <v>22</v>
      </c>
      <c r="J358" s="26" t="s">
        <v>62</v>
      </c>
      <c r="K358" s="53">
        <v>42093</v>
      </c>
      <c r="L358" s="53">
        <v>44531</v>
      </c>
      <c r="M358" s="72">
        <v>45474</v>
      </c>
      <c r="N358" s="72">
        <v>47299</v>
      </c>
    </row>
    <row r="359" spans="1:14" ht="24.95" customHeight="1">
      <c r="A359" s="149"/>
      <c r="B359" s="24" t="s">
        <v>524</v>
      </c>
      <c r="C359" s="27" t="s">
        <v>123</v>
      </c>
      <c r="D359" s="24" t="s">
        <v>720</v>
      </c>
      <c r="E359" s="26" t="s">
        <v>721</v>
      </c>
      <c r="F359" s="26" t="s">
        <v>29</v>
      </c>
      <c r="G359" s="43">
        <v>27010</v>
      </c>
      <c r="H359" s="51" t="s">
        <v>692</v>
      </c>
      <c r="I359" s="52" t="s">
        <v>22</v>
      </c>
      <c r="J359" s="26" t="s">
        <v>62</v>
      </c>
      <c r="K359" s="53">
        <v>34335</v>
      </c>
      <c r="L359" s="53">
        <v>38736</v>
      </c>
      <c r="M359" s="72">
        <v>45108</v>
      </c>
      <c r="N359" s="72">
        <v>46934</v>
      </c>
    </row>
    <row r="360" spans="1:14" ht="24.95" customHeight="1">
      <c r="A360" s="85"/>
      <c r="B360" s="24" t="s">
        <v>621</v>
      </c>
      <c r="C360" s="27" t="s">
        <v>279</v>
      </c>
      <c r="D360" s="24" t="s">
        <v>724</v>
      </c>
      <c r="E360" s="26" t="s">
        <v>725</v>
      </c>
      <c r="F360" s="26" t="s">
        <v>20</v>
      </c>
      <c r="G360" s="43">
        <v>24670</v>
      </c>
      <c r="H360" s="51" t="s">
        <v>692</v>
      </c>
      <c r="I360" s="52" t="s">
        <v>22</v>
      </c>
      <c r="J360" s="26" t="s">
        <v>70</v>
      </c>
      <c r="K360" s="53">
        <v>35713</v>
      </c>
      <c r="L360" s="53">
        <v>42795</v>
      </c>
      <c r="M360" s="72">
        <v>45108</v>
      </c>
      <c r="N360" s="72">
        <v>46934</v>
      </c>
    </row>
    <row r="361" spans="1:14" ht="24.95" customHeight="1">
      <c r="A361" s="83"/>
      <c r="B361" s="24" t="s">
        <v>627</v>
      </c>
      <c r="C361" s="108" t="s">
        <v>287</v>
      </c>
      <c r="D361" s="24" t="s">
        <v>726</v>
      </c>
      <c r="E361" s="26" t="s">
        <v>727</v>
      </c>
      <c r="F361" s="26" t="s">
        <v>29</v>
      </c>
      <c r="G361" s="43">
        <v>32090</v>
      </c>
      <c r="H361" s="51" t="s">
        <v>692</v>
      </c>
      <c r="I361" s="52" t="s">
        <v>22</v>
      </c>
      <c r="J361" s="26" t="s">
        <v>70</v>
      </c>
      <c r="K361" s="53">
        <v>41017</v>
      </c>
      <c r="L361" s="53">
        <v>41017</v>
      </c>
      <c r="M361" s="72">
        <v>45474</v>
      </c>
      <c r="N361" s="72">
        <v>47299</v>
      </c>
    </row>
    <row r="362" spans="1:14" ht="24.95" customHeight="1">
      <c r="A362" s="83"/>
      <c r="B362" s="31" t="s">
        <v>728</v>
      </c>
      <c r="C362" s="27"/>
      <c r="D362" s="24" t="s">
        <v>52</v>
      </c>
      <c r="E362" s="26"/>
      <c r="F362" s="26"/>
      <c r="G362" s="43"/>
      <c r="H362" s="51"/>
      <c r="I362" s="52"/>
      <c r="J362" s="26"/>
      <c r="K362" s="53"/>
      <c r="L362" s="53"/>
      <c r="M362" s="72"/>
      <c r="N362" s="72"/>
    </row>
    <row r="363" spans="1:14" ht="24.95" customHeight="1">
      <c r="A363" s="24"/>
      <c r="B363" s="24" t="s">
        <v>320</v>
      </c>
      <c r="C363" s="27" t="s">
        <v>129</v>
      </c>
      <c r="D363" s="24" t="s">
        <v>1963</v>
      </c>
      <c r="E363" s="26" t="s">
        <v>730</v>
      </c>
      <c r="F363" s="26" t="s">
        <v>20</v>
      </c>
      <c r="G363" s="43">
        <v>29183</v>
      </c>
      <c r="H363" s="51" t="s">
        <v>692</v>
      </c>
      <c r="I363" s="52" t="s">
        <v>22</v>
      </c>
      <c r="J363" s="26" t="s">
        <v>62</v>
      </c>
      <c r="K363" s="53">
        <v>41022</v>
      </c>
      <c r="L363" s="53">
        <v>44743</v>
      </c>
      <c r="M363" s="72">
        <v>45839</v>
      </c>
      <c r="N363" s="72">
        <v>47664</v>
      </c>
    </row>
    <row r="364" spans="1:14" ht="24.95" customHeight="1">
      <c r="A364" s="24">
        <v>2</v>
      </c>
      <c r="B364" s="24" t="s">
        <v>320</v>
      </c>
      <c r="C364" s="27" t="s">
        <v>129</v>
      </c>
      <c r="D364" s="24" t="s">
        <v>1713</v>
      </c>
      <c r="E364" s="26" t="s">
        <v>733</v>
      </c>
      <c r="F364" s="26" t="s">
        <v>29</v>
      </c>
      <c r="G364" s="43">
        <v>30598</v>
      </c>
      <c r="H364" s="51" t="s">
        <v>692</v>
      </c>
      <c r="I364" s="52" t="s">
        <v>22</v>
      </c>
      <c r="J364" s="26" t="s">
        <v>62</v>
      </c>
      <c r="K364" s="53">
        <v>42093</v>
      </c>
      <c r="L364" s="53">
        <v>45747</v>
      </c>
      <c r="M364" s="72">
        <v>45474</v>
      </c>
      <c r="N364" s="72">
        <v>47299</v>
      </c>
    </row>
    <row r="365" spans="1:14" ht="24.95" customHeight="1">
      <c r="A365" s="24">
        <v>3</v>
      </c>
      <c r="B365" s="24" t="s">
        <v>524</v>
      </c>
      <c r="C365" s="27" t="s">
        <v>123</v>
      </c>
      <c r="D365" s="24" t="s">
        <v>731</v>
      </c>
      <c r="E365" s="26" t="s">
        <v>732</v>
      </c>
      <c r="F365" s="26" t="s">
        <v>29</v>
      </c>
      <c r="G365" s="43">
        <v>30375</v>
      </c>
      <c r="H365" s="51" t="s">
        <v>692</v>
      </c>
      <c r="I365" s="52" t="s">
        <v>22</v>
      </c>
      <c r="J365" s="26" t="s">
        <v>62</v>
      </c>
      <c r="K365" s="53">
        <v>41295</v>
      </c>
      <c r="L365" s="53">
        <v>43617</v>
      </c>
      <c r="M365" s="72">
        <v>45108</v>
      </c>
      <c r="N365" s="72">
        <v>46934</v>
      </c>
    </row>
    <row r="366" spans="1:14" ht="24.95" customHeight="1">
      <c r="A366" s="40"/>
      <c r="B366" s="24" t="s">
        <v>333</v>
      </c>
      <c r="C366" s="27" t="s">
        <v>67</v>
      </c>
      <c r="D366" s="24" t="s">
        <v>734</v>
      </c>
      <c r="E366" s="26" t="s">
        <v>735</v>
      </c>
      <c r="F366" s="26" t="s">
        <v>29</v>
      </c>
      <c r="G366" s="43">
        <v>31241</v>
      </c>
      <c r="H366" s="51" t="s">
        <v>692</v>
      </c>
      <c r="I366" s="52" t="s">
        <v>22</v>
      </c>
      <c r="J366" s="26" t="s">
        <v>70</v>
      </c>
      <c r="K366" s="53">
        <v>40637</v>
      </c>
      <c r="L366" s="53">
        <v>45392</v>
      </c>
      <c r="M366" s="72">
        <v>45108</v>
      </c>
      <c r="N366" s="72">
        <v>46934</v>
      </c>
    </row>
    <row r="367" spans="1:14" ht="24.95" customHeight="1">
      <c r="A367" s="24">
        <v>4</v>
      </c>
      <c r="B367" s="24" t="s">
        <v>627</v>
      </c>
      <c r="C367" s="108" t="s">
        <v>287</v>
      </c>
      <c r="D367" s="24" t="s">
        <v>736</v>
      </c>
      <c r="E367" s="26" t="s">
        <v>737</v>
      </c>
      <c r="F367" s="26" t="s">
        <v>20</v>
      </c>
      <c r="G367" s="43">
        <v>26345</v>
      </c>
      <c r="H367" s="51" t="s">
        <v>692</v>
      </c>
      <c r="I367" s="52" t="s">
        <v>22</v>
      </c>
      <c r="J367" s="26" t="s">
        <v>70</v>
      </c>
      <c r="K367" s="53">
        <v>39864</v>
      </c>
      <c r="L367" s="53">
        <v>39864</v>
      </c>
      <c r="M367" s="72">
        <v>45108</v>
      </c>
      <c r="N367" s="72">
        <v>46934</v>
      </c>
    </row>
    <row r="368" spans="1:14" s="3" customFormat="1" ht="24.95" customHeight="1">
      <c r="A368" s="24"/>
      <c r="B368" s="24" t="s">
        <v>627</v>
      </c>
      <c r="C368" s="108" t="s">
        <v>287</v>
      </c>
      <c r="D368" s="129"/>
      <c r="E368" s="26"/>
      <c r="F368" s="26"/>
      <c r="G368" s="43"/>
      <c r="H368" s="51"/>
      <c r="I368" s="52"/>
      <c r="J368" s="26"/>
      <c r="K368" s="53"/>
      <c r="L368" s="53"/>
      <c r="M368" s="72"/>
      <c r="N368" s="72"/>
    </row>
    <row r="369" spans="1:14" ht="24.95" customHeight="1">
      <c r="A369" s="24">
        <v>6</v>
      </c>
      <c r="B369" s="197" t="s">
        <v>738</v>
      </c>
      <c r="C369" s="125"/>
      <c r="D369" s="83" t="s">
        <v>52</v>
      </c>
      <c r="E369" s="126"/>
      <c r="F369" s="126"/>
      <c r="G369" s="133"/>
      <c r="H369" s="137"/>
      <c r="I369" s="126"/>
      <c r="J369" s="126"/>
      <c r="K369" s="138"/>
      <c r="L369" s="138"/>
      <c r="M369" s="139"/>
      <c r="N369" s="139"/>
    </row>
    <row r="370" spans="1:14" ht="24.95" customHeight="1">
      <c r="A370" s="24"/>
      <c r="B370" s="24" t="s">
        <v>320</v>
      </c>
      <c r="C370" s="27" t="s">
        <v>129</v>
      </c>
      <c r="D370" s="24" t="s">
        <v>739</v>
      </c>
      <c r="E370" s="26" t="s">
        <v>740</v>
      </c>
      <c r="F370" s="26" t="s">
        <v>20</v>
      </c>
      <c r="G370" s="43">
        <v>29192</v>
      </c>
      <c r="H370" s="51" t="s">
        <v>692</v>
      </c>
      <c r="I370" s="52" t="s">
        <v>22</v>
      </c>
      <c r="J370" s="26" t="s">
        <v>62</v>
      </c>
      <c r="K370" s="53">
        <v>40508</v>
      </c>
      <c r="L370" s="53">
        <v>43891</v>
      </c>
      <c r="M370" s="72">
        <v>45474</v>
      </c>
      <c r="N370" s="72">
        <v>47299</v>
      </c>
    </row>
    <row r="371" spans="1:14" ht="24.95" customHeight="1">
      <c r="A371" s="24">
        <v>7</v>
      </c>
      <c r="B371" s="24" t="s">
        <v>320</v>
      </c>
      <c r="C371" s="27" t="s">
        <v>129</v>
      </c>
      <c r="D371" s="24" t="s">
        <v>1964</v>
      </c>
      <c r="E371" s="26" t="s">
        <v>741</v>
      </c>
      <c r="F371" s="26" t="s">
        <v>20</v>
      </c>
      <c r="G371" s="43">
        <v>29961</v>
      </c>
      <c r="H371" s="51" t="s">
        <v>692</v>
      </c>
      <c r="I371" s="52" t="s">
        <v>22</v>
      </c>
      <c r="J371" s="26" t="s">
        <v>62</v>
      </c>
      <c r="K371" s="53">
        <v>41767</v>
      </c>
      <c r="L371" s="53">
        <v>44593</v>
      </c>
      <c r="M371" s="72">
        <v>45108</v>
      </c>
      <c r="N371" s="72">
        <v>46934</v>
      </c>
    </row>
    <row r="372" spans="1:14" ht="24.95" customHeight="1">
      <c r="A372" s="24"/>
      <c r="B372" s="24" t="s">
        <v>524</v>
      </c>
      <c r="C372" s="27" t="s">
        <v>123</v>
      </c>
      <c r="D372" s="24" t="s">
        <v>742</v>
      </c>
      <c r="E372" s="26" t="s">
        <v>743</v>
      </c>
      <c r="F372" s="26" t="s">
        <v>29</v>
      </c>
      <c r="G372" s="43">
        <v>28822</v>
      </c>
      <c r="H372" s="51" t="s">
        <v>692</v>
      </c>
      <c r="I372" s="52" t="s">
        <v>22</v>
      </c>
      <c r="J372" s="26" t="s">
        <v>62</v>
      </c>
      <c r="K372" s="53">
        <v>39566</v>
      </c>
      <c r="L372" s="53">
        <v>40575</v>
      </c>
      <c r="M372" s="72">
        <v>45108</v>
      </c>
      <c r="N372" s="72">
        <v>46934</v>
      </c>
    </row>
    <row r="373" spans="1:14" ht="24.95" customHeight="1">
      <c r="A373" s="24"/>
      <c r="B373" s="24" t="s">
        <v>524</v>
      </c>
      <c r="C373" s="27" t="s">
        <v>123</v>
      </c>
      <c r="D373" s="24" t="s">
        <v>744</v>
      </c>
      <c r="E373" s="26" t="s">
        <v>745</v>
      </c>
      <c r="F373" s="26" t="s">
        <v>20</v>
      </c>
      <c r="G373" s="43">
        <v>26386</v>
      </c>
      <c r="H373" s="51" t="s">
        <v>692</v>
      </c>
      <c r="I373" s="52" t="s">
        <v>22</v>
      </c>
      <c r="J373" s="26" t="s">
        <v>62</v>
      </c>
      <c r="K373" s="53">
        <v>40507</v>
      </c>
      <c r="L373" s="53">
        <v>40664</v>
      </c>
      <c r="M373" s="72">
        <v>45108</v>
      </c>
      <c r="N373" s="72">
        <v>46934</v>
      </c>
    </row>
    <row r="374" spans="1:14" ht="24.95" customHeight="1">
      <c r="A374" s="24">
        <v>8</v>
      </c>
      <c r="B374" s="24" t="s">
        <v>524</v>
      </c>
      <c r="C374" s="27" t="s">
        <v>123</v>
      </c>
      <c r="D374" s="24" t="s">
        <v>746</v>
      </c>
      <c r="E374" s="26" t="s">
        <v>747</v>
      </c>
      <c r="F374" s="26" t="s">
        <v>20</v>
      </c>
      <c r="G374" s="43">
        <v>28764</v>
      </c>
      <c r="H374" s="51" t="s">
        <v>692</v>
      </c>
      <c r="I374" s="52" t="s">
        <v>22</v>
      </c>
      <c r="J374" s="26" t="s">
        <v>62</v>
      </c>
      <c r="K374" s="53">
        <v>42709</v>
      </c>
      <c r="L374" s="53">
        <v>42709</v>
      </c>
      <c r="M374" s="72">
        <v>45108</v>
      </c>
      <c r="N374" s="72">
        <v>46934</v>
      </c>
    </row>
    <row r="375" spans="1:14" ht="24.95" customHeight="1">
      <c r="A375" s="83"/>
      <c r="B375" s="24" t="s">
        <v>524</v>
      </c>
      <c r="C375" s="27" t="s">
        <v>123</v>
      </c>
      <c r="D375" s="24" t="s">
        <v>748</v>
      </c>
      <c r="E375" s="26" t="s">
        <v>749</v>
      </c>
      <c r="F375" s="26" t="s">
        <v>20</v>
      </c>
      <c r="G375" s="43">
        <v>26318</v>
      </c>
      <c r="H375" s="51" t="s">
        <v>692</v>
      </c>
      <c r="I375" s="52" t="s">
        <v>22</v>
      </c>
      <c r="J375" s="26" t="s">
        <v>62</v>
      </c>
      <c r="K375" s="53">
        <v>39566</v>
      </c>
      <c r="L375" s="53">
        <v>44563</v>
      </c>
      <c r="M375" s="72">
        <v>45108</v>
      </c>
      <c r="N375" s="72">
        <v>46934</v>
      </c>
    </row>
    <row r="376" spans="1:14" ht="24.95" customHeight="1">
      <c r="A376" s="24">
        <v>1</v>
      </c>
      <c r="B376" s="24" t="s">
        <v>621</v>
      </c>
      <c r="C376" s="27" t="s">
        <v>279</v>
      </c>
      <c r="D376" s="24" t="s">
        <v>750</v>
      </c>
      <c r="E376" s="26" t="s">
        <v>751</v>
      </c>
      <c r="F376" s="26" t="s">
        <v>20</v>
      </c>
      <c r="G376" s="43">
        <v>26800</v>
      </c>
      <c r="H376" s="51" t="s">
        <v>692</v>
      </c>
      <c r="I376" s="52" t="s">
        <v>22</v>
      </c>
      <c r="J376" s="26" t="s">
        <v>70</v>
      </c>
      <c r="K376" s="53">
        <v>41017</v>
      </c>
      <c r="L376" s="53">
        <v>42795</v>
      </c>
      <c r="M376" s="72">
        <v>45474</v>
      </c>
      <c r="N376" s="72">
        <v>47299</v>
      </c>
    </row>
    <row r="377" spans="1:14" ht="24.95" customHeight="1">
      <c r="A377" s="24">
        <v>2</v>
      </c>
      <c r="B377" s="24" t="s">
        <v>621</v>
      </c>
      <c r="C377" s="27" t="s">
        <v>279</v>
      </c>
      <c r="D377" s="24" t="s">
        <v>752</v>
      </c>
      <c r="E377" s="26" t="s">
        <v>753</v>
      </c>
      <c r="F377" s="26" t="s">
        <v>20</v>
      </c>
      <c r="G377" s="43">
        <v>29474</v>
      </c>
      <c r="H377" s="51" t="s">
        <v>692</v>
      </c>
      <c r="I377" s="52" t="s">
        <v>22</v>
      </c>
      <c r="J377" s="26" t="s">
        <v>70</v>
      </c>
      <c r="K377" s="53">
        <v>41017</v>
      </c>
      <c r="L377" s="53">
        <v>42795</v>
      </c>
      <c r="M377" s="72">
        <v>45839</v>
      </c>
      <c r="N377" s="72">
        <v>47664</v>
      </c>
    </row>
    <row r="378" spans="1:14" ht="24.95" customHeight="1">
      <c r="A378" s="24">
        <v>3</v>
      </c>
      <c r="B378" s="24" t="s">
        <v>621</v>
      </c>
      <c r="C378" s="27" t="s">
        <v>279</v>
      </c>
      <c r="D378" s="24" t="s">
        <v>754</v>
      </c>
      <c r="E378" s="26" t="s">
        <v>755</v>
      </c>
      <c r="F378" s="26" t="s">
        <v>29</v>
      </c>
      <c r="G378" s="43">
        <v>32557</v>
      </c>
      <c r="H378" s="51" t="s">
        <v>692</v>
      </c>
      <c r="I378" s="52" t="s">
        <v>22</v>
      </c>
      <c r="J378" s="26" t="s">
        <v>70</v>
      </c>
      <c r="K378" s="53">
        <v>41017</v>
      </c>
      <c r="L378" s="53">
        <v>42795</v>
      </c>
      <c r="M378" s="72">
        <v>45839</v>
      </c>
      <c r="N378" s="72">
        <v>47664</v>
      </c>
    </row>
    <row r="379" spans="1:14" ht="24.95" customHeight="1">
      <c r="A379" s="24"/>
      <c r="B379" s="150" t="s">
        <v>756</v>
      </c>
      <c r="C379" s="76"/>
      <c r="D379" s="76"/>
      <c r="E379" s="35"/>
      <c r="F379" s="35"/>
      <c r="G379" s="47"/>
      <c r="H379" s="51"/>
      <c r="I379" s="35"/>
      <c r="J379" s="35"/>
      <c r="K379" s="100"/>
      <c r="L379" s="100"/>
      <c r="M379" s="62"/>
      <c r="N379" s="62"/>
    </row>
    <row r="380" spans="1:14" ht="24.95" customHeight="1">
      <c r="A380" s="24">
        <v>4</v>
      </c>
      <c r="B380" s="83" t="s">
        <v>757</v>
      </c>
      <c r="C380" s="125"/>
      <c r="D380" s="35"/>
      <c r="E380" s="35"/>
      <c r="F380" s="35"/>
      <c r="G380" s="47"/>
      <c r="H380" s="215"/>
      <c r="I380" s="35"/>
      <c r="J380" s="35"/>
      <c r="K380" s="100"/>
      <c r="L380" s="100"/>
      <c r="M380" s="62"/>
      <c r="N380" s="62"/>
    </row>
    <row r="381" spans="1:14" ht="24.95" customHeight="1">
      <c r="A381" s="24">
        <v>6</v>
      </c>
      <c r="B381" s="24" t="s">
        <v>650</v>
      </c>
      <c r="C381" s="27" t="s">
        <v>55</v>
      </c>
      <c r="D381" s="24" t="s">
        <v>758</v>
      </c>
      <c r="E381" s="96" t="s">
        <v>759</v>
      </c>
      <c r="F381" s="46" t="s">
        <v>20</v>
      </c>
      <c r="G381" s="48">
        <v>28250</v>
      </c>
      <c r="H381" s="51" t="s">
        <v>692</v>
      </c>
      <c r="I381" s="63" t="s">
        <v>22</v>
      </c>
      <c r="J381" s="26" t="s">
        <v>23</v>
      </c>
      <c r="K381" s="64">
        <v>39322</v>
      </c>
      <c r="L381" s="64">
        <v>45490</v>
      </c>
      <c r="M381" s="65">
        <v>45505</v>
      </c>
      <c r="N381" s="65">
        <v>47330</v>
      </c>
    </row>
    <row r="382" spans="1:14" ht="24.95" customHeight="1">
      <c r="A382" s="24">
        <v>7</v>
      </c>
      <c r="B382" s="76" t="s">
        <v>1800</v>
      </c>
      <c r="C382" s="76" t="s">
        <v>35</v>
      </c>
      <c r="D382" s="24" t="s">
        <v>1008</v>
      </c>
      <c r="E382" s="26" t="s">
        <v>1009</v>
      </c>
      <c r="F382" s="26" t="s">
        <v>20</v>
      </c>
      <c r="G382" s="43">
        <v>25143</v>
      </c>
      <c r="H382" s="51" t="s">
        <v>692</v>
      </c>
      <c r="I382" s="52" t="s">
        <v>22</v>
      </c>
      <c r="J382" s="26" t="s">
        <v>30</v>
      </c>
      <c r="K382" s="53">
        <v>39660</v>
      </c>
      <c r="L382" s="53">
        <v>42795</v>
      </c>
      <c r="M382" s="72">
        <v>45108</v>
      </c>
      <c r="N382" s="72">
        <v>46934</v>
      </c>
    </row>
    <row r="383" spans="1:14" ht="24.95" customHeight="1">
      <c r="A383" s="24"/>
      <c r="B383" s="24" t="s">
        <v>236</v>
      </c>
      <c r="C383" s="27" t="s">
        <v>35</v>
      </c>
      <c r="D383" s="24" t="s">
        <v>237</v>
      </c>
      <c r="E383" s="26" t="s">
        <v>238</v>
      </c>
      <c r="F383" s="26" t="s">
        <v>29</v>
      </c>
      <c r="G383" s="43">
        <v>28483</v>
      </c>
      <c r="H383" s="51" t="s">
        <v>692</v>
      </c>
      <c r="I383" s="52" t="s">
        <v>22</v>
      </c>
      <c r="J383" s="26" t="s">
        <v>30</v>
      </c>
      <c r="K383" s="53">
        <v>42376</v>
      </c>
      <c r="L383" s="53">
        <v>45278</v>
      </c>
      <c r="M383" s="55">
        <v>45839</v>
      </c>
      <c r="N383" s="55">
        <v>47664</v>
      </c>
    </row>
    <row r="384" spans="1:14" ht="24.95" customHeight="1">
      <c r="A384" s="24">
        <v>3</v>
      </c>
      <c r="B384" s="76" t="s">
        <v>371</v>
      </c>
      <c r="C384" s="120" t="s">
        <v>39</v>
      </c>
      <c r="D384" s="24" t="s">
        <v>372</v>
      </c>
      <c r="E384" s="26" t="s">
        <v>373</v>
      </c>
      <c r="F384" s="46" t="s">
        <v>20</v>
      </c>
      <c r="G384" s="48">
        <v>25324</v>
      </c>
      <c r="H384" s="73" t="str">
        <f>$H$385</f>
        <v>NaFORRI</v>
      </c>
      <c r="I384" s="63" t="s">
        <v>22</v>
      </c>
      <c r="J384" s="26" t="s">
        <v>30</v>
      </c>
      <c r="K384" s="64">
        <v>42374</v>
      </c>
      <c r="L384" s="64">
        <v>45839</v>
      </c>
      <c r="M384" s="65">
        <v>47664</v>
      </c>
      <c r="N384" s="65">
        <v>47239</v>
      </c>
    </row>
    <row r="385" spans="1:14" ht="24.95" customHeight="1">
      <c r="A385" s="24"/>
      <c r="B385" s="24" t="s">
        <v>769</v>
      </c>
      <c r="C385" s="27" t="s">
        <v>35</v>
      </c>
      <c r="D385" s="24" t="s">
        <v>770</v>
      </c>
      <c r="E385" s="26" t="s">
        <v>771</v>
      </c>
      <c r="F385" s="26" t="s">
        <v>29</v>
      </c>
      <c r="G385" s="43">
        <v>31613</v>
      </c>
      <c r="H385" s="51" t="s">
        <v>692</v>
      </c>
      <c r="I385" s="52" t="s">
        <v>22</v>
      </c>
      <c r="J385" s="26" t="s">
        <v>30</v>
      </c>
      <c r="K385" s="53">
        <v>41345</v>
      </c>
      <c r="L385" s="53">
        <v>45595</v>
      </c>
      <c r="M385" s="72">
        <v>45108</v>
      </c>
      <c r="N385" s="72">
        <v>46934</v>
      </c>
    </row>
    <row r="386" spans="1:14" ht="24.95" customHeight="1">
      <c r="A386" s="24">
        <v>4</v>
      </c>
      <c r="B386" s="24" t="s">
        <v>173</v>
      </c>
      <c r="C386" s="27" t="s">
        <v>67</v>
      </c>
      <c r="D386" s="24" t="s">
        <v>774</v>
      </c>
      <c r="E386" s="262" t="s">
        <v>775</v>
      </c>
      <c r="F386" s="26" t="s">
        <v>20</v>
      </c>
      <c r="G386" s="43">
        <v>32027</v>
      </c>
      <c r="H386" s="51" t="s">
        <v>692</v>
      </c>
      <c r="I386" s="52" t="s">
        <v>22</v>
      </c>
      <c r="J386" s="26" t="s">
        <v>30</v>
      </c>
      <c r="K386" s="53">
        <v>43657</v>
      </c>
      <c r="L386" s="53">
        <v>43657</v>
      </c>
      <c r="M386" s="72">
        <v>45474</v>
      </c>
      <c r="N386" s="72">
        <v>47299</v>
      </c>
    </row>
    <row r="387" spans="1:14" ht="24.95" customHeight="1">
      <c r="A387" s="24">
        <v>5</v>
      </c>
      <c r="B387" s="24" t="s">
        <v>662</v>
      </c>
      <c r="C387" s="27" t="s">
        <v>39</v>
      </c>
      <c r="D387" s="24" t="s">
        <v>772</v>
      </c>
      <c r="E387" s="262" t="s">
        <v>773</v>
      </c>
      <c r="F387" s="26" t="s">
        <v>29</v>
      </c>
      <c r="G387" s="43">
        <v>30514</v>
      </c>
      <c r="H387" s="51" t="s">
        <v>692</v>
      </c>
      <c r="I387" s="52" t="s">
        <v>22</v>
      </c>
      <c r="J387" s="26" t="s">
        <v>30</v>
      </c>
      <c r="K387" s="53">
        <v>43313</v>
      </c>
      <c r="L387" s="53">
        <v>43313</v>
      </c>
      <c r="M387" s="72">
        <v>45108</v>
      </c>
      <c r="N387" s="72">
        <v>46934</v>
      </c>
    </row>
    <row r="388" spans="1:14" ht="24.95" customHeight="1">
      <c r="A388" s="24">
        <v>7</v>
      </c>
      <c r="B388" s="24" t="s">
        <v>780</v>
      </c>
      <c r="C388" s="27" t="s">
        <v>39</v>
      </c>
      <c r="D388" s="24" t="s">
        <v>781</v>
      </c>
      <c r="E388" s="26" t="s">
        <v>782</v>
      </c>
      <c r="F388" s="26" t="s">
        <v>29</v>
      </c>
      <c r="G388" s="43">
        <v>30662</v>
      </c>
      <c r="H388" s="51" t="s">
        <v>692</v>
      </c>
      <c r="I388" s="52" t="s">
        <v>22</v>
      </c>
      <c r="J388" s="26" t="s">
        <v>30</v>
      </c>
      <c r="K388" s="53">
        <v>40637</v>
      </c>
      <c r="L388" s="53">
        <v>45392</v>
      </c>
      <c r="M388" s="72">
        <v>45108</v>
      </c>
      <c r="N388" s="72">
        <v>46934</v>
      </c>
    </row>
    <row r="389" spans="1:14" ht="24.95" customHeight="1">
      <c r="A389" s="24"/>
      <c r="B389" s="24" t="s">
        <v>221</v>
      </c>
      <c r="C389" s="27" t="s">
        <v>41</v>
      </c>
      <c r="D389" s="24" t="s">
        <v>776</v>
      </c>
      <c r="E389" s="26" t="s">
        <v>777</v>
      </c>
      <c r="F389" s="26" t="s">
        <v>29</v>
      </c>
      <c r="G389" s="43">
        <v>28543</v>
      </c>
      <c r="H389" s="51" t="s">
        <v>692</v>
      </c>
      <c r="I389" s="52" t="s">
        <v>22</v>
      </c>
      <c r="J389" s="26" t="s">
        <v>30</v>
      </c>
      <c r="K389" s="53">
        <v>42370</v>
      </c>
      <c r="L389" s="53">
        <v>45278</v>
      </c>
      <c r="M389" s="72">
        <v>45474</v>
      </c>
      <c r="N389" s="72">
        <v>47299</v>
      </c>
    </row>
    <row r="390" spans="1:14" ht="24.95" customHeight="1">
      <c r="A390" s="83"/>
      <c r="B390" s="24" t="s">
        <v>212</v>
      </c>
      <c r="C390" s="27" t="s">
        <v>39</v>
      </c>
      <c r="D390" s="24" t="s">
        <v>762</v>
      </c>
      <c r="E390" s="234" t="s">
        <v>763</v>
      </c>
      <c r="F390" s="46" t="s">
        <v>29</v>
      </c>
      <c r="G390" s="48">
        <v>25467</v>
      </c>
      <c r="H390" s="51" t="s">
        <v>692</v>
      </c>
      <c r="I390" s="63" t="s">
        <v>22</v>
      </c>
      <c r="J390" s="26" t="s">
        <v>30</v>
      </c>
      <c r="K390" s="64">
        <v>35396</v>
      </c>
      <c r="L390" s="100">
        <v>45108</v>
      </c>
      <c r="M390" s="62" t="s">
        <v>764</v>
      </c>
      <c r="N390" s="62">
        <v>46934</v>
      </c>
    </row>
    <row r="391" spans="1:14" ht="24.95" customHeight="1">
      <c r="A391" s="24">
        <v>3</v>
      </c>
      <c r="B391" s="24" t="s">
        <v>393</v>
      </c>
      <c r="C391" s="27" t="s">
        <v>85</v>
      </c>
      <c r="D391" s="24" t="s">
        <v>778</v>
      </c>
      <c r="E391" s="26" t="s">
        <v>779</v>
      </c>
      <c r="F391" s="26" t="s">
        <v>29</v>
      </c>
      <c r="G391" s="43">
        <v>32032</v>
      </c>
      <c r="H391" s="51" t="s">
        <v>692</v>
      </c>
      <c r="I391" s="52" t="s">
        <v>22</v>
      </c>
      <c r="J391" s="26" t="s">
        <v>30</v>
      </c>
      <c r="K391" s="53">
        <v>42501</v>
      </c>
      <c r="L391" s="53">
        <v>42501</v>
      </c>
      <c r="M391" s="72">
        <v>45839</v>
      </c>
      <c r="N391" s="72">
        <v>47664</v>
      </c>
    </row>
    <row r="392" spans="1:14" ht="24.95" customHeight="1">
      <c r="A392" s="24"/>
      <c r="B392" s="24" t="s">
        <v>1779</v>
      </c>
      <c r="C392" s="27" t="s">
        <v>85</v>
      </c>
      <c r="D392" s="24" t="s">
        <v>1780</v>
      </c>
      <c r="E392" s="26" t="s">
        <v>1388</v>
      </c>
      <c r="F392" s="46" t="s">
        <v>29</v>
      </c>
      <c r="G392" s="48">
        <v>24759</v>
      </c>
      <c r="H392" s="51" t="s">
        <v>692</v>
      </c>
      <c r="I392" s="63" t="s">
        <v>22</v>
      </c>
      <c r="J392" s="26" t="s">
        <v>50</v>
      </c>
      <c r="K392" s="64">
        <v>37463</v>
      </c>
      <c r="L392" s="64">
        <v>45490</v>
      </c>
      <c r="M392" s="62">
        <v>45108</v>
      </c>
      <c r="N392" s="48">
        <v>46674</v>
      </c>
    </row>
    <row r="393" spans="1:14" ht="24.95" customHeight="1">
      <c r="A393" s="24">
        <v>4</v>
      </c>
      <c r="B393" s="24" t="s">
        <v>783</v>
      </c>
      <c r="C393" s="27" t="s">
        <v>784</v>
      </c>
      <c r="D393" s="24" t="s">
        <v>785</v>
      </c>
      <c r="E393" s="26" t="s">
        <v>786</v>
      </c>
      <c r="F393" s="26" t="s">
        <v>20</v>
      </c>
      <c r="G393" s="43">
        <v>27568</v>
      </c>
      <c r="H393" s="51" t="s">
        <v>692</v>
      </c>
      <c r="I393" s="52" t="s">
        <v>22</v>
      </c>
      <c r="J393" s="26" t="s">
        <v>50</v>
      </c>
      <c r="K393" s="53">
        <v>40637</v>
      </c>
      <c r="L393" s="53">
        <v>40637</v>
      </c>
      <c r="M393" s="72">
        <v>45108</v>
      </c>
      <c r="N393" s="72">
        <v>46934</v>
      </c>
    </row>
    <row r="394" spans="1:14" ht="24.95" customHeight="1">
      <c r="A394" s="24"/>
      <c r="B394" s="24" t="s">
        <v>44</v>
      </c>
      <c r="C394" s="27" t="s">
        <v>45</v>
      </c>
      <c r="D394" s="24" t="s">
        <v>787</v>
      </c>
      <c r="E394" s="26" t="s">
        <v>788</v>
      </c>
      <c r="F394" s="26" t="s">
        <v>20</v>
      </c>
      <c r="G394" s="43">
        <v>25023</v>
      </c>
      <c r="H394" s="51" t="s">
        <v>692</v>
      </c>
      <c r="I394" s="52" t="s">
        <v>22</v>
      </c>
      <c r="J394" s="26" t="s">
        <v>50</v>
      </c>
      <c r="K394" s="53">
        <v>36017</v>
      </c>
      <c r="L394" s="53">
        <v>36017</v>
      </c>
      <c r="M394" s="72">
        <v>45108</v>
      </c>
      <c r="N394" s="72">
        <v>46934</v>
      </c>
    </row>
    <row r="395" spans="1:14" ht="24.95" customHeight="1">
      <c r="A395" s="24"/>
      <c r="B395" s="24" t="s">
        <v>44</v>
      </c>
      <c r="C395" s="27" t="s">
        <v>45</v>
      </c>
      <c r="D395" s="24" t="s">
        <v>90</v>
      </c>
      <c r="E395" s="26" t="s">
        <v>91</v>
      </c>
      <c r="F395" s="26" t="s">
        <v>20</v>
      </c>
      <c r="G395" s="43">
        <v>31494</v>
      </c>
      <c r="H395" s="51" t="s">
        <v>692</v>
      </c>
      <c r="I395" s="52" t="s">
        <v>22</v>
      </c>
      <c r="J395" s="26" t="s">
        <v>50</v>
      </c>
      <c r="K395" s="53">
        <v>41365</v>
      </c>
      <c r="L395" s="53">
        <v>41365</v>
      </c>
      <c r="M395" s="55">
        <v>45839</v>
      </c>
      <c r="N395" s="55">
        <v>47664</v>
      </c>
    </row>
    <row r="396" spans="1:14" ht="24.95" customHeight="1">
      <c r="A396" s="24"/>
      <c r="B396" s="24" t="s">
        <v>1782</v>
      </c>
      <c r="C396" s="27" t="s">
        <v>45</v>
      </c>
      <c r="D396" s="24" t="s">
        <v>800</v>
      </c>
      <c r="E396" s="26" t="s">
        <v>801</v>
      </c>
      <c r="F396" s="26" t="s">
        <v>20</v>
      </c>
      <c r="G396" s="43">
        <v>26770</v>
      </c>
      <c r="H396" s="51" t="s">
        <v>692</v>
      </c>
      <c r="I396" s="52" t="s">
        <v>22</v>
      </c>
      <c r="J396" s="26" t="s">
        <v>50</v>
      </c>
      <c r="K396" s="53">
        <v>40637</v>
      </c>
      <c r="L396" s="53">
        <v>40637</v>
      </c>
      <c r="M396" s="72">
        <v>45108</v>
      </c>
      <c r="N396" s="72">
        <v>46934</v>
      </c>
    </row>
    <row r="397" spans="1:14" ht="24.95" customHeight="1">
      <c r="A397" s="24">
        <v>7</v>
      </c>
      <c r="B397" s="24" t="s">
        <v>46</v>
      </c>
      <c r="C397" s="27" t="s">
        <v>47</v>
      </c>
      <c r="D397" s="24" t="s">
        <v>791</v>
      </c>
      <c r="E397" s="26" t="s">
        <v>792</v>
      </c>
      <c r="F397" s="26" t="s">
        <v>29</v>
      </c>
      <c r="G397" s="43">
        <v>26248</v>
      </c>
      <c r="H397" s="99" t="s">
        <v>692</v>
      </c>
      <c r="I397" s="52" t="s">
        <v>22</v>
      </c>
      <c r="J397" s="26" t="s">
        <v>50</v>
      </c>
      <c r="K397" s="53">
        <v>42310</v>
      </c>
      <c r="L397" s="53">
        <v>42310</v>
      </c>
      <c r="M397" s="72">
        <v>45474</v>
      </c>
      <c r="N397" s="72">
        <v>47299</v>
      </c>
    </row>
    <row r="398" spans="1:14" ht="24.95" customHeight="1">
      <c r="A398" s="24"/>
      <c r="B398" s="24" t="s">
        <v>793</v>
      </c>
      <c r="C398" s="27" t="s">
        <v>47</v>
      </c>
      <c r="D398" s="24" t="s">
        <v>794</v>
      </c>
      <c r="E398" s="26" t="s">
        <v>795</v>
      </c>
      <c r="F398" s="26" t="s">
        <v>20</v>
      </c>
      <c r="G398" s="43">
        <v>27194</v>
      </c>
      <c r="H398" s="51" t="s">
        <v>692</v>
      </c>
      <c r="I398" s="52" t="s">
        <v>22</v>
      </c>
      <c r="J398" s="26" t="s">
        <v>50</v>
      </c>
      <c r="K398" s="53">
        <v>42310</v>
      </c>
      <c r="L398" s="53">
        <v>42310</v>
      </c>
      <c r="M398" s="72">
        <v>45474</v>
      </c>
      <c r="N398" s="72">
        <v>47299</v>
      </c>
    </row>
    <row r="399" spans="1:14" ht="24.95" customHeight="1">
      <c r="A399" s="24"/>
      <c r="B399" s="24" t="s">
        <v>793</v>
      </c>
      <c r="C399" s="27" t="s">
        <v>47</v>
      </c>
      <c r="D399" s="24" t="s">
        <v>796</v>
      </c>
      <c r="E399" s="262" t="s">
        <v>797</v>
      </c>
      <c r="F399" s="26" t="s">
        <v>20</v>
      </c>
      <c r="G399" s="43">
        <v>26916</v>
      </c>
      <c r="H399" s="51" t="s">
        <v>692</v>
      </c>
      <c r="I399" s="52" t="s">
        <v>22</v>
      </c>
      <c r="J399" s="26" t="s">
        <v>50</v>
      </c>
      <c r="K399" s="53">
        <v>42310</v>
      </c>
      <c r="L399" s="53">
        <v>42310</v>
      </c>
      <c r="M399" s="72">
        <v>45474</v>
      </c>
      <c r="N399" s="72">
        <v>47299</v>
      </c>
    </row>
    <row r="400" spans="1:14" s="3" customFormat="1" ht="24.95" customHeight="1">
      <c r="A400" s="76"/>
      <c r="B400" s="24" t="s">
        <v>793</v>
      </c>
      <c r="C400" s="27" t="s">
        <v>47</v>
      </c>
      <c r="D400" s="24" t="s">
        <v>798</v>
      </c>
      <c r="E400" s="26" t="s">
        <v>799</v>
      </c>
      <c r="F400" s="26" t="s">
        <v>29</v>
      </c>
      <c r="G400" s="43">
        <v>25564</v>
      </c>
      <c r="H400" s="51" t="s">
        <v>692</v>
      </c>
      <c r="I400" s="52" t="s">
        <v>22</v>
      </c>
      <c r="J400" s="26" t="s">
        <v>50</v>
      </c>
      <c r="K400" s="53">
        <v>42310</v>
      </c>
      <c r="L400" s="53">
        <v>42310</v>
      </c>
      <c r="M400" s="72">
        <v>45474</v>
      </c>
      <c r="N400" s="72">
        <v>47299</v>
      </c>
    </row>
    <row r="401" spans="1:14" s="3" customFormat="1" ht="24.95" customHeight="1">
      <c r="A401" s="83"/>
      <c r="B401" s="252" t="s">
        <v>1783</v>
      </c>
      <c r="C401" s="199"/>
      <c r="D401" s="24"/>
      <c r="E401" s="126"/>
      <c r="F401" s="126"/>
      <c r="G401" s="133"/>
      <c r="H401" s="137"/>
      <c r="I401" s="126"/>
      <c r="J401" s="126"/>
      <c r="K401" s="138"/>
      <c r="L401" s="138"/>
      <c r="M401" s="139"/>
      <c r="N401" s="139"/>
    </row>
    <row r="402" spans="1:14" ht="24.95" customHeight="1">
      <c r="A402" s="24">
        <v>1</v>
      </c>
      <c r="B402" s="137" t="s">
        <v>802</v>
      </c>
      <c r="C402" s="198"/>
      <c r="D402" s="122" t="s">
        <v>52</v>
      </c>
      <c r="E402" s="126"/>
      <c r="F402" s="126"/>
      <c r="G402" s="133"/>
      <c r="H402" s="137"/>
      <c r="I402" s="126"/>
      <c r="J402" s="126"/>
      <c r="K402" s="138"/>
      <c r="L402" s="138"/>
      <c r="M402" s="139"/>
      <c r="N402" s="139"/>
    </row>
    <row r="403" spans="1:14" ht="24.95" customHeight="1">
      <c r="A403" s="24">
        <v>2</v>
      </c>
      <c r="B403" s="128" t="s">
        <v>803</v>
      </c>
      <c r="C403" s="125"/>
      <c r="D403" s="200" t="s">
        <v>52</v>
      </c>
      <c r="E403" s="126"/>
      <c r="F403" s="126"/>
      <c r="G403" s="133"/>
      <c r="H403" s="137"/>
      <c r="I403" s="126"/>
      <c r="J403" s="126"/>
      <c r="K403" s="100"/>
      <c r="L403" s="100"/>
      <c r="M403" s="62"/>
      <c r="N403" s="62"/>
    </row>
    <row r="404" spans="1:14" ht="24.95" customHeight="1">
      <c r="A404" s="24">
        <v>3</v>
      </c>
      <c r="B404" s="76" t="s">
        <v>804</v>
      </c>
      <c r="C404" s="27" t="s">
        <v>59</v>
      </c>
      <c r="D404" s="24" t="s">
        <v>806</v>
      </c>
      <c r="E404" s="89" t="s">
        <v>807</v>
      </c>
      <c r="F404" s="46" t="s">
        <v>20</v>
      </c>
      <c r="G404" s="48">
        <v>27016</v>
      </c>
      <c r="H404" s="73" t="s">
        <v>805</v>
      </c>
      <c r="I404" s="63" t="s">
        <v>22</v>
      </c>
      <c r="J404" s="26" t="s">
        <v>62</v>
      </c>
      <c r="K404" s="64">
        <v>38720</v>
      </c>
      <c r="L404" s="64">
        <v>45490</v>
      </c>
      <c r="M404" s="98">
        <v>45505</v>
      </c>
      <c r="N404" s="98">
        <v>47299</v>
      </c>
    </row>
    <row r="405" spans="1:14" ht="24.95" customHeight="1">
      <c r="A405" s="24"/>
      <c r="B405" s="76" t="s">
        <v>320</v>
      </c>
      <c r="C405" s="27" t="s">
        <v>129</v>
      </c>
      <c r="D405" s="76" t="s">
        <v>808</v>
      </c>
      <c r="E405" s="26" t="s">
        <v>809</v>
      </c>
      <c r="F405" s="46" t="s">
        <v>20</v>
      </c>
      <c r="G405" s="48">
        <v>23364</v>
      </c>
      <c r="H405" s="73" t="s">
        <v>805</v>
      </c>
      <c r="I405" s="63" t="s">
        <v>22</v>
      </c>
      <c r="J405" s="26" t="s">
        <v>62</v>
      </c>
      <c r="K405" s="64">
        <v>34335</v>
      </c>
      <c r="L405" s="64">
        <v>38719</v>
      </c>
      <c r="M405" s="286">
        <v>45108</v>
      </c>
      <c r="N405" s="55">
        <v>46934</v>
      </c>
    </row>
    <row r="406" spans="1:14" ht="24.95" customHeight="1">
      <c r="A406" s="76">
        <v>5</v>
      </c>
      <c r="B406" s="76" t="s">
        <v>320</v>
      </c>
      <c r="C406" s="27" t="s">
        <v>129</v>
      </c>
      <c r="D406" s="24" t="s">
        <v>810</v>
      </c>
      <c r="E406" s="26" t="s">
        <v>811</v>
      </c>
      <c r="F406" s="46" t="s">
        <v>20</v>
      </c>
      <c r="G406" s="48">
        <v>30657</v>
      </c>
      <c r="H406" s="73" t="s">
        <v>805</v>
      </c>
      <c r="I406" s="63" t="s">
        <v>22</v>
      </c>
      <c r="J406" s="26" t="s">
        <v>62</v>
      </c>
      <c r="K406" s="64">
        <v>42086</v>
      </c>
      <c r="L406" s="64">
        <f>$L$667</f>
        <v>46009</v>
      </c>
      <c r="M406" s="286">
        <v>45474</v>
      </c>
      <c r="N406" s="55">
        <v>47299</v>
      </c>
    </row>
    <row r="407" spans="1:14" ht="24.95" customHeight="1">
      <c r="A407" s="76">
        <v>6</v>
      </c>
      <c r="B407" s="76" t="s">
        <v>524</v>
      </c>
      <c r="C407" s="27" t="s">
        <v>123</v>
      </c>
      <c r="D407" s="24" t="s">
        <v>812</v>
      </c>
      <c r="E407" s="27" t="s">
        <v>813</v>
      </c>
      <c r="F407" s="86" t="s">
        <v>29</v>
      </c>
      <c r="G407" s="154">
        <v>33013</v>
      </c>
      <c r="H407" s="184" t="s">
        <v>805</v>
      </c>
      <c r="I407" s="97" t="s">
        <v>22</v>
      </c>
      <c r="J407" s="27" t="s">
        <v>62</v>
      </c>
      <c r="K407" s="159">
        <v>42278</v>
      </c>
      <c r="L407" s="159">
        <v>42370</v>
      </c>
      <c r="M407" s="61">
        <v>45474</v>
      </c>
      <c r="N407" s="55">
        <v>47299</v>
      </c>
    </row>
    <row r="408" spans="1:14" ht="24.95" customHeight="1">
      <c r="A408" s="24">
        <v>7</v>
      </c>
      <c r="B408" s="76" t="s">
        <v>621</v>
      </c>
      <c r="C408" s="27" t="s">
        <v>279</v>
      </c>
      <c r="D408" s="24" t="s">
        <v>814</v>
      </c>
      <c r="E408" s="26" t="s">
        <v>815</v>
      </c>
      <c r="F408" s="46" t="s">
        <v>20</v>
      </c>
      <c r="G408" s="48">
        <v>24633</v>
      </c>
      <c r="H408" s="73" t="s">
        <v>805</v>
      </c>
      <c r="I408" s="63" t="s">
        <v>22</v>
      </c>
      <c r="J408" s="26" t="s">
        <v>70</v>
      </c>
      <c r="K408" s="64">
        <v>34335</v>
      </c>
      <c r="L408" s="64">
        <v>42795</v>
      </c>
      <c r="M408" s="286">
        <v>45108</v>
      </c>
      <c r="N408" s="55">
        <v>46548</v>
      </c>
    </row>
    <row r="409" spans="1:14" ht="24.95" customHeight="1">
      <c r="A409" s="24">
        <v>8</v>
      </c>
      <c r="B409" s="76" t="s">
        <v>627</v>
      </c>
      <c r="C409" s="27" t="s">
        <v>287</v>
      </c>
      <c r="D409" s="84" t="s">
        <v>816</v>
      </c>
      <c r="E409" s="27" t="s">
        <v>817</v>
      </c>
      <c r="F409" s="86" t="s">
        <v>20</v>
      </c>
      <c r="G409" s="154">
        <v>25331</v>
      </c>
      <c r="H409" s="184" t="s">
        <v>805</v>
      </c>
      <c r="I409" s="97" t="s">
        <v>22</v>
      </c>
      <c r="J409" s="27" t="s">
        <v>70</v>
      </c>
      <c r="K409" s="159">
        <v>40330</v>
      </c>
      <c r="L409" s="159">
        <v>40330</v>
      </c>
      <c r="M409" s="299">
        <v>45108</v>
      </c>
      <c r="N409" s="61">
        <v>46934</v>
      </c>
    </row>
    <row r="410" spans="1:14" ht="24.95" customHeight="1">
      <c r="A410" s="24">
        <v>9</v>
      </c>
      <c r="B410" s="458" t="s">
        <v>818</v>
      </c>
      <c r="C410" s="125"/>
      <c r="D410" s="200"/>
      <c r="E410" s="126"/>
      <c r="F410" s="126"/>
      <c r="G410" s="133"/>
      <c r="H410" s="137"/>
      <c r="I410" s="126"/>
      <c r="J410" s="126"/>
      <c r="K410" s="100"/>
      <c r="L410" s="100"/>
      <c r="M410" s="62"/>
      <c r="N410" s="62"/>
    </row>
    <row r="411" spans="1:14" ht="24.95" customHeight="1">
      <c r="A411" s="24">
        <v>10</v>
      </c>
      <c r="B411" s="76" t="s">
        <v>1778</v>
      </c>
      <c r="C411" s="27" t="s">
        <v>129</v>
      </c>
      <c r="D411" s="76" t="str">
        <f>[2]ALLINPOST!G562</f>
        <v>SAMUEL  BASSA</v>
      </c>
      <c r="E411" s="99" t="str">
        <f>[2]ALLINPOST!M562</f>
        <v>CM66072102JYLF</v>
      </c>
      <c r="F411" s="26" t="str">
        <f>[2]ALLINPOST!N562</f>
        <v>Male</v>
      </c>
      <c r="G411" s="453">
        <f>[2]ALLINPOST!O562</f>
        <v>24295</v>
      </c>
      <c r="H411" s="453" t="str">
        <f>[2]ALLINPOST!P562</f>
        <v>NaFIRRI</v>
      </c>
      <c r="I411" s="144" t="str">
        <f>[2]ALLINPOST!Q562</f>
        <v>CONTRACT</v>
      </c>
      <c r="J411" s="450" t="str">
        <f>[2]ALLINPOST!R562</f>
        <v>Research</v>
      </c>
      <c r="K411" s="451">
        <f>[2]ALLINPOST!S562</f>
        <v>34335</v>
      </c>
      <c r="L411" s="452">
        <f>[2]ALLINPOST!T562</f>
        <v>44743</v>
      </c>
      <c r="M411" s="235">
        <f>[2]ALLINPOST!U562</f>
        <v>45078</v>
      </c>
      <c r="N411" s="55">
        <v>46934</v>
      </c>
    </row>
    <row r="412" spans="1:14" ht="24.95" customHeight="1">
      <c r="A412" s="24"/>
      <c r="B412" s="76" t="s">
        <v>1778</v>
      </c>
      <c r="C412" s="27" t="s">
        <v>129</v>
      </c>
      <c r="D412" s="84" t="s">
        <v>819</v>
      </c>
      <c r="E412" s="26" t="s">
        <v>820</v>
      </c>
      <c r="F412" s="46" t="s">
        <v>20</v>
      </c>
      <c r="G412" s="48">
        <v>26830</v>
      </c>
      <c r="H412" s="63" t="s">
        <v>805</v>
      </c>
      <c r="I412" s="63" t="s">
        <v>22</v>
      </c>
      <c r="J412" s="26" t="s">
        <v>62</v>
      </c>
      <c r="K412" s="64">
        <v>34335</v>
      </c>
      <c r="L412" s="64">
        <v>41518</v>
      </c>
      <c r="M412" s="286">
        <v>45078</v>
      </c>
      <c r="N412" s="55">
        <v>46934</v>
      </c>
    </row>
    <row r="413" spans="1:14" ht="24.95" customHeight="1">
      <c r="A413" s="24">
        <v>13</v>
      </c>
      <c r="B413" s="76" t="s">
        <v>1778</v>
      </c>
      <c r="C413" s="27" t="s">
        <v>129</v>
      </c>
      <c r="D413" s="24" t="s">
        <v>822</v>
      </c>
      <c r="E413" s="26" t="s">
        <v>823</v>
      </c>
      <c r="F413" s="46" t="s">
        <v>20</v>
      </c>
      <c r="G413" s="48">
        <v>32502</v>
      </c>
      <c r="H413" s="73" t="s">
        <v>805</v>
      </c>
      <c r="I413" s="63" t="s">
        <v>22</v>
      </c>
      <c r="J413" s="26" t="s">
        <v>62</v>
      </c>
      <c r="K413" s="64">
        <v>42080</v>
      </c>
      <c r="L413" s="64">
        <v>42278</v>
      </c>
      <c r="M413" s="62">
        <v>45794</v>
      </c>
      <c r="N413" s="55">
        <v>47299</v>
      </c>
    </row>
    <row r="414" spans="1:14" ht="24.95" customHeight="1">
      <c r="A414" s="24">
        <v>14</v>
      </c>
      <c r="B414" s="76" t="s">
        <v>1778</v>
      </c>
      <c r="C414" s="27" t="s">
        <v>129</v>
      </c>
      <c r="D414" s="24" t="s">
        <v>854</v>
      </c>
      <c r="E414" s="262" t="s">
        <v>855</v>
      </c>
      <c r="F414" s="46" t="s">
        <v>20</v>
      </c>
      <c r="G414" s="48">
        <v>32057</v>
      </c>
      <c r="H414" s="73" t="s">
        <v>805</v>
      </c>
      <c r="I414" s="63" t="s">
        <v>22</v>
      </c>
      <c r="J414" s="26" t="s">
        <v>62</v>
      </c>
      <c r="K414" s="64">
        <v>43678</v>
      </c>
      <c r="L414" s="64">
        <v>45392</v>
      </c>
      <c r="M414" s="62">
        <v>45474</v>
      </c>
      <c r="N414" s="55">
        <v>47299</v>
      </c>
    </row>
    <row r="415" spans="1:14" ht="24.95" customHeight="1">
      <c r="A415" s="24">
        <v>15</v>
      </c>
      <c r="B415" s="76" t="s">
        <v>825</v>
      </c>
      <c r="C415" s="27" t="s">
        <v>129</v>
      </c>
      <c r="D415" s="24" t="s">
        <v>826</v>
      </c>
      <c r="E415" s="27" t="s">
        <v>827</v>
      </c>
      <c r="F415" s="86" t="s">
        <v>20</v>
      </c>
      <c r="G415" s="154">
        <v>24422</v>
      </c>
      <c r="H415" s="184" t="s">
        <v>805</v>
      </c>
      <c r="I415" s="97" t="s">
        <v>22</v>
      </c>
      <c r="J415" s="27" t="s">
        <v>62</v>
      </c>
      <c r="K415" s="159">
        <v>42221</v>
      </c>
      <c r="L415" s="159">
        <v>45490</v>
      </c>
      <c r="M415" s="185">
        <v>45474</v>
      </c>
      <c r="N415" s="61">
        <v>47664</v>
      </c>
    </row>
    <row r="416" spans="1:14" ht="24.95" customHeight="1">
      <c r="A416" s="24"/>
      <c r="B416" s="76" t="s">
        <v>524</v>
      </c>
      <c r="C416" s="27" t="s">
        <v>123</v>
      </c>
      <c r="D416" s="24" t="s">
        <v>828</v>
      </c>
      <c r="E416" s="26" t="s">
        <v>829</v>
      </c>
      <c r="F416" s="46" t="s">
        <v>20</v>
      </c>
      <c r="G416" s="48">
        <v>30308</v>
      </c>
      <c r="H416" s="73" t="s">
        <v>805</v>
      </c>
      <c r="I416" s="63" t="s">
        <v>22</v>
      </c>
      <c r="J416" s="26" t="s">
        <v>62</v>
      </c>
      <c r="K416" s="64">
        <v>41022</v>
      </c>
      <c r="L416" s="64">
        <v>41022</v>
      </c>
      <c r="M416" s="62">
        <v>45839</v>
      </c>
      <c r="N416" s="55">
        <v>47664</v>
      </c>
    </row>
    <row r="417" spans="1:14" ht="24.95" customHeight="1">
      <c r="A417" s="24">
        <v>16</v>
      </c>
      <c r="B417" s="76" t="s">
        <v>617</v>
      </c>
      <c r="C417" s="27" t="s">
        <v>67</v>
      </c>
      <c r="D417" s="24" t="s">
        <v>831</v>
      </c>
      <c r="E417" s="26" t="s">
        <v>832</v>
      </c>
      <c r="F417" s="46" t="s">
        <v>29</v>
      </c>
      <c r="G417" s="48">
        <v>25348</v>
      </c>
      <c r="H417" s="73" t="s">
        <v>805</v>
      </c>
      <c r="I417" s="63" t="s">
        <v>22</v>
      </c>
      <c r="J417" s="26" t="s">
        <v>70</v>
      </c>
      <c r="K417" s="64">
        <v>34335</v>
      </c>
      <c r="L417" s="64">
        <v>42795</v>
      </c>
      <c r="M417" s="286">
        <v>45078</v>
      </c>
      <c r="N417" s="55">
        <v>46934</v>
      </c>
    </row>
    <row r="418" spans="1:14" ht="24.95" customHeight="1">
      <c r="A418" s="24">
        <v>17</v>
      </c>
      <c r="B418" s="76" t="s">
        <v>621</v>
      </c>
      <c r="C418" s="27" t="s">
        <v>279</v>
      </c>
      <c r="D418" s="84" t="s">
        <v>833</v>
      </c>
      <c r="E418" s="26" t="s">
        <v>834</v>
      </c>
      <c r="F418" s="46" t="s">
        <v>20</v>
      </c>
      <c r="G418" s="48">
        <v>25125</v>
      </c>
      <c r="H418" s="73" t="s">
        <v>805</v>
      </c>
      <c r="I418" s="63" t="s">
        <v>22</v>
      </c>
      <c r="J418" s="26" t="s">
        <v>70</v>
      </c>
      <c r="K418" s="64">
        <v>39434</v>
      </c>
      <c r="L418" s="64">
        <v>42795</v>
      </c>
      <c r="M418" s="286">
        <v>45078</v>
      </c>
      <c r="N418" s="55">
        <v>46934</v>
      </c>
    </row>
    <row r="419" spans="1:14" ht="24.95" customHeight="1">
      <c r="A419" s="24">
        <v>18</v>
      </c>
      <c r="B419" s="35" t="s">
        <v>627</v>
      </c>
      <c r="C419" s="27" t="s">
        <v>287</v>
      </c>
      <c r="D419" s="24" t="s">
        <v>1738</v>
      </c>
      <c r="E419" s="26" t="s">
        <v>1739</v>
      </c>
      <c r="F419" s="46" t="s">
        <v>20</v>
      </c>
      <c r="G419" s="48">
        <v>35681</v>
      </c>
      <c r="H419" s="73" t="s">
        <v>805</v>
      </c>
      <c r="I419" s="63" t="s">
        <v>22</v>
      </c>
      <c r="J419" s="26" t="s">
        <v>70</v>
      </c>
      <c r="K419" s="64">
        <v>45597</v>
      </c>
      <c r="L419" s="64">
        <v>45597</v>
      </c>
      <c r="M419" s="62">
        <f>$L$419</f>
        <v>45597</v>
      </c>
      <c r="N419" s="64">
        <v>47423</v>
      </c>
    </row>
    <row r="420" spans="1:14" ht="24.95" customHeight="1">
      <c r="A420" s="24"/>
      <c r="B420" s="76" t="s">
        <v>835</v>
      </c>
      <c r="C420" s="27" t="s">
        <v>836</v>
      </c>
      <c r="D420" s="24" t="s">
        <v>837</v>
      </c>
      <c r="E420" s="26" t="s">
        <v>838</v>
      </c>
      <c r="F420" s="46" t="s">
        <v>20</v>
      </c>
      <c r="G420" s="48">
        <v>27822</v>
      </c>
      <c r="H420" s="73" t="s">
        <v>805</v>
      </c>
      <c r="I420" s="63" t="s">
        <v>22</v>
      </c>
      <c r="J420" s="26" t="s">
        <v>70</v>
      </c>
      <c r="K420" s="64">
        <v>40508</v>
      </c>
      <c r="L420" s="64">
        <v>40508</v>
      </c>
      <c r="M420" s="62">
        <v>45474</v>
      </c>
      <c r="N420" s="55">
        <v>47299</v>
      </c>
    </row>
    <row r="421" spans="1:14" ht="24.95" customHeight="1">
      <c r="A421" s="24"/>
      <c r="B421" s="31" t="s">
        <v>845</v>
      </c>
      <c r="C421" s="125"/>
      <c r="D421" s="200" t="s">
        <v>52</v>
      </c>
      <c r="E421" s="63"/>
      <c r="F421" s="63"/>
      <c r="G421" s="105"/>
      <c r="H421" s="73"/>
      <c r="I421" s="63"/>
      <c r="J421" s="63"/>
      <c r="K421" s="64"/>
      <c r="L421" s="64"/>
      <c r="M421" s="62"/>
      <c r="N421" s="214"/>
    </row>
    <row r="422" spans="1:14" ht="24.95" customHeight="1">
      <c r="A422" s="83"/>
      <c r="B422" s="76" t="s">
        <v>804</v>
      </c>
      <c r="C422" s="27" t="s">
        <v>59</v>
      </c>
      <c r="D422" s="24" t="s">
        <v>846</v>
      </c>
      <c r="E422" s="26" t="s">
        <v>847</v>
      </c>
      <c r="F422" s="46" t="s">
        <v>29</v>
      </c>
      <c r="G422" s="48">
        <v>27248</v>
      </c>
      <c r="H422" s="73" t="s">
        <v>805</v>
      </c>
      <c r="I422" s="63" t="s">
        <v>22</v>
      </c>
      <c r="J422" s="26" t="s">
        <v>62</v>
      </c>
      <c r="K422" s="64">
        <v>38720</v>
      </c>
      <c r="L422" s="64">
        <v>44743</v>
      </c>
      <c r="M422" s="286">
        <v>45078</v>
      </c>
      <c r="N422" s="55">
        <v>46934</v>
      </c>
    </row>
    <row r="423" spans="1:14" ht="24.95" customHeight="1">
      <c r="A423" s="83"/>
      <c r="B423" s="76" t="s">
        <v>804</v>
      </c>
      <c r="C423" s="27" t="s">
        <v>59</v>
      </c>
      <c r="D423" s="30" t="s">
        <v>848</v>
      </c>
      <c r="E423" s="26" t="s">
        <v>849</v>
      </c>
      <c r="F423" s="46" t="s">
        <v>20</v>
      </c>
      <c r="G423" s="48">
        <v>25474</v>
      </c>
      <c r="H423" s="73" t="s">
        <v>805</v>
      </c>
      <c r="I423" s="63" t="s">
        <v>22</v>
      </c>
      <c r="J423" s="26" t="s">
        <v>23</v>
      </c>
      <c r="K423" s="64">
        <v>37319</v>
      </c>
      <c r="L423" s="64">
        <v>45490</v>
      </c>
      <c r="M423" s="65">
        <v>45901</v>
      </c>
      <c r="N423" s="65">
        <v>47360</v>
      </c>
    </row>
    <row r="424" spans="1:14" ht="24.95" customHeight="1">
      <c r="B424" s="76" t="s">
        <v>804</v>
      </c>
      <c r="C424" s="27" t="s">
        <v>59</v>
      </c>
      <c r="D424" s="24" t="s">
        <v>850</v>
      </c>
      <c r="E424" s="26" t="s">
        <v>851</v>
      </c>
      <c r="F424" s="46" t="s">
        <v>20</v>
      </c>
      <c r="G424" s="48">
        <v>27311</v>
      </c>
      <c r="H424" s="73" t="s">
        <v>805</v>
      </c>
      <c r="I424" s="63" t="s">
        <v>22</v>
      </c>
      <c r="J424" s="26" t="s">
        <v>62</v>
      </c>
      <c r="K424" s="64">
        <v>39875</v>
      </c>
      <c r="L424" s="64">
        <v>45810</v>
      </c>
      <c r="M424" s="286">
        <v>45078</v>
      </c>
      <c r="N424" s="55">
        <v>46934</v>
      </c>
    </row>
    <row r="425" spans="1:14" ht="24.95" customHeight="1">
      <c r="A425" s="76">
        <v>2</v>
      </c>
      <c r="B425" s="76" t="s">
        <v>320</v>
      </c>
      <c r="C425" s="27" t="s">
        <v>129</v>
      </c>
      <c r="D425" s="24" t="s">
        <v>852</v>
      </c>
      <c r="E425" s="46" t="s">
        <v>853</v>
      </c>
      <c r="F425" s="46" t="s">
        <v>20</v>
      </c>
      <c r="G425" s="62">
        <v>27998</v>
      </c>
      <c r="H425" s="112" t="s">
        <v>805</v>
      </c>
      <c r="I425" s="63" t="s">
        <v>22</v>
      </c>
      <c r="J425" s="26" t="s">
        <v>62</v>
      </c>
      <c r="K425" s="100">
        <v>41036</v>
      </c>
      <c r="L425" s="100">
        <v>43677</v>
      </c>
      <c r="M425" s="286">
        <v>45078</v>
      </c>
      <c r="N425" s="55">
        <v>46934</v>
      </c>
    </row>
    <row r="426" spans="1:14" ht="24.95" customHeight="1">
      <c r="A426" s="76">
        <v>3</v>
      </c>
      <c r="B426" s="76" t="s">
        <v>320</v>
      </c>
      <c r="C426" s="27" t="s">
        <v>129</v>
      </c>
      <c r="D426" s="24" t="s">
        <v>839</v>
      </c>
      <c r="E426" s="27" t="s">
        <v>840</v>
      </c>
      <c r="F426" s="86" t="s">
        <v>29</v>
      </c>
      <c r="G426" s="154">
        <v>21973</v>
      </c>
      <c r="H426" s="184" t="s">
        <v>805</v>
      </c>
      <c r="I426" s="97" t="s">
        <v>22</v>
      </c>
      <c r="J426" s="27" t="s">
        <v>62</v>
      </c>
      <c r="K426" s="159">
        <v>36384</v>
      </c>
      <c r="L426" s="159">
        <v>44593</v>
      </c>
      <c r="M426" s="61">
        <v>45134</v>
      </c>
      <c r="N426" s="61">
        <v>46445</v>
      </c>
    </row>
    <row r="427" spans="1:14" ht="24.95" customHeight="1">
      <c r="B427" s="76" t="s">
        <v>524</v>
      </c>
      <c r="C427" s="27" t="s">
        <v>123</v>
      </c>
      <c r="D427" s="24" t="s">
        <v>856</v>
      </c>
      <c r="E427" s="26" t="s">
        <v>857</v>
      </c>
      <c r="F427" s="46" t="s">
        <v>20</v>
      </c>
      <c r="G427" s="48">
        <v>26239</v>
      </c>
      <c r="H427" s="73" t="s">
        <v>805</v>
      </c>
      <c r="I427" s="63" t="s">
        <v>22</v>
      </c>
      <c r="J427" s="26" t="s">
        <v>62</v>
      </c>
      <c r="K427" s="64">
        <v>42710</v>
      </c>
      <c r="L427" s="64">
        <v>42710</v>
      </c>
      <c r="M427" s="286">
        <v>45078</v>
      </c>
      <c r="N427" s="55">
        <v>46934</v>
      </c>
    </row>
    <row r="428" spans="1:14" ht="24.95" customHeight="1">
      <c r="A428" s="76">
        <v>3</v>
      </c>
      <c r="B428" s="76" t="s">
        <v>524</v>
      </c>
      <c r="C428" s="27" t="s">
        <v>123</v>
      </c>
      <c r="D428" s="24" t="s">
        <v>858</v>
      </c>
      <c r="E428" s="263" t="s">
        <v>859</v>
      </c>
      <c r="F428" s="46" t="s">
        <v>29</v>
      </c>
      <c r="G428" s="48">
        <v>31018</v>
      </c>
      <c r="H428" s="73" t="s">
        <v>805</v>
      </c>
      <c r="I428" s="63" t="s">
        <v>22</v>
      </c>
      <c r="J428" s="26" t="s">
        <v>62</v>
      </c>
      <c r="K428" s="64">
        <v>43590</v>
      </c>
      <c r="L428" s="64">
        <v>43590</v>
      </c>
      <c r="M428" s="62">
        <v>45474</v>
      </c>
      <c r="N428" s="55">
        <v>47299</v>
      </c>
    </row>
    <row r="429" spans="1:14" ht="24.95" customHeight="1">
      <c r="A429" s="76">
        <v>5</v>
      </c>
      <c r="B429" s="76" t="s">
        <v>524</v>
      </c>
      <c r="C429" s="27" t="s">
        <v>123</v>
      </c>
      <c r="D429" s="24" t="s">
        <v>860</v>
      </c>
      <c r="E429" s="263" t="s">
        <v>861</v>
      </c>
      <c r="F429" s="46" t="s">
        <v>20</v>
      </c>
      <c r="G429" s="48">
        <v>32622</v>
      </c>
      <c r="H429" s="73" t="s">
        <v>805</v>
      </c>
      <c r="I429" s="63" t="s">
        <v>22</v>
      </c>
      <c r="J429" s="26" t="s">
        <v>62</v>
      </c>
      <c r="K429" s="64">
        <v>43605</v>
      </c>
      <c r="L429" s="64">
        <v>43605</v>
      </c>
      <c r="M429" s="62">
        <v>45474</v>
      </c>
      <c r="N429" s="55">
        <v>47299</v>
      </c>
    </row>
    <row r="430" spans="1:14" ht="24.95" customHeight="1">
      <c r="A430" s="76">
        <v>6</v>
      </c>
      <c r="B430" s="76" t="s">
        <v>524</v>
      </c>
      <c r="C430" s="27" t="s">
        <v>123</v>
      </c>
      <c r="D430" s="24" t="s">
        <v>841</v>
      </c>
      <c r="E430" s="26" t="s">
        <v>842</v>
      </c>
      <c r="F430" s="46" t="s">
        <v>20</v>
      </c>
      <c r="G430" s="48">
        <v>28878</v>
      </c>
      <c r="H430" s="73" t="s">
        <v>805</v>
      </c>
      <c r="I430" s="63" t="s">
        <v>22</v>
      </c>
      <c r="J430" s="26" t="s">
        <v>62</v>
      </c>
      <c r="K430" s="64">
        <v>40525</v>
      </c>
      <c r="L430" s="64">
        <v>40525</v>
      </c>
      <c r="M430" s="286">
        <v>45078</v>
      </c>
      <c r="N430" s="55">
        <v>46934</v>
      </c>
    </row>
    <row r="431" spans="1:14" ht="24.95" customHeight="1">
      <c r="B431" s="76" t="s">
        <v>524</v>
      </c>
      <c r="C431" s="27" t="s">
        <v>123</v>
      </c>
      <c r="D431" s="84" t="s">
        <v>843</v>
      </c>
      <c r="E431" s="26" t="s">
        <v>844</v>
      </c>
      <c r="F431" s="46" t="s">
        <v>29</v>
      </c>
      <c r="G431" s="48">
        <v>24833</v>
      </c>
      <c r="H431" s="73" t="s">
        <v>805</v>
      </c>
      <c r="I431" s="63" t="s">
        <v>22</v>
      </c>
      <c r="J431" s="26" t="s">
        <v>62</v>
      </c>
      <c r="K431" s="64">
        <v>34335</v>
      </c>
      <c r="L431" s="64">
        <v>34335</v>
      </c>
      <c r="M431" s="286">
        <v>45078</v>
      </c>
      <c r="N431" s="55">
        <v>46934</v>
      </c>
    </row>
    <row r="432" spans="1:14" ht="24.95" customHeight="1">
      <c r="A432" s="499">
        <v>3</v>
      </c>
      <c r="B432" s="76" t="s">
        <v>621</v>
      </c>
      <c r="C432" s="27" t="s">
        <v>279</v>
      </c>
      <c r="D432" s="30" t="s">
        <v>885</v>
      </c>
      <c r="E432" s="117" t="s">
        <v>886</v>
      </c>
      <c r="F432" s="110" t="s">
        <v>20</v>
      </c>
      <c r="G432" s="111">
        <v>29820</v>
      </c>
      <c r="H432" s="115" t="s">
        <v>805</v>
      </c>
      <c r="I432" s="116" t="s">
        <v>22</v>
      </c>
      <c r="J432" s="117" t="s">
        <v>70</v>
      </c>
      <c r="K432" s="118">
        <v>40637</v>
      </c>
      <c r="L432" s="118">
        <v>42795</v>
      </c>
      <c r="M432" s="300">
        <v>45108</v>
      </c>
      <c r="N432" s="55">
        <v>46934</v>
      </c>
    </row>
    <row r="433" spans="1:14" ht="24.95" customHeight="1">
      <c r="A433" s="500"/>
      <c r="B433" s="76" t="s">
        <v>627</v>
      </c>
      <c r="C433" s="27" t="s">
        <v>287</v>
      </c>
      <c r="D433" s="84" t="s">
        <v>862</v>
      </c>
      <c r="E433" s="26" t="s">
        <v>863</v>
      </c>
      <c r="F433" s="46" t="s">
        <v>29</v>
      </c>
      <c r="G433" s="48">
        <v>25760</v>
      </c>
      <c r="H433" s="73" t="s">
        <v>805</v>
      </c>
      <c r="I433" s="63" t="s">
        <v>22</v>
      </c>
      <c r="J433" s="26" t="s">
        <v>70</v>
      </c>
      <c r="K433" s="64">
        <v>41014</v>
      </c>
      <c r="L433" s="64">
        <v>41014</v>
      </c>
      <c r="M433" s="62">
        <v>45474</v>
      </c>
      <c r="N433" s="55">
        <v>47299</v>
      </c>
    </row>
    <row r="434" spans="1:14" ht="24.95" customHeight="1">
      <c r="A434" s="500"/>
      <c r="B434" s="76" t="s">
        <v>627</v>
      </c>
      <c r="C434" s="27" t="s">
        <v>287</v>
      </c>
      <c r="D434" s="84" t="s">
        <v>864</v>
      </c>
      <c r="E434" s="26" t="s">
        <v>865</v>
      </c>
      <c r="F434" s="46" t="s">
        <v>29</v>
      </c>
      <c r="G434" s="48">
        <v>30991</v>
      </c>
      <c r="H434" s="73" t="s">
        <v>805</v>
      </c>
      <c r="I434" s="63" t="s">
        <v>22</v>
      </c>
      <c r="J434" s="26" t="s">
        <v>70</v>
      </c>
      <c r="K434" s="64">
        <v>42251</v>
      </c>
      <c r="L434" s="64">
        <v>42251</v>
      </c>
      <c r="M434" s="62">
        <v>45474</v>
      </c>
      <c r="N434" s="55">
        <v>47299</v>
      </c>
    </row>
    <row r="435" spans="1:14" ht="24.95" customHeight="1">
      <c r="A435" s="501"/>
      <c r="B435" s="76" t="s">
        <v>627</v>
      </c>
      <c r="C435" s="27" t="s">
        <v>287</v>
      </c>
      <c r="D435" s="24" t="s">
        <v>1740</v>
      </c>
      <c r="E435" s="26" t="s">
        <v>1741</v>
      </c>
      <c r="F435" s="46" t="s">
        <v>20</v>
      </c>
      <c r="G435" s="48">
        <v>30743</v>
      </c>
      <c r="H435" s="73" t="s">
        <v>805</v>
      </c>
      <c r="I435" s="63" t="s">
        <v>22</v>
      </c>
      <c r="J435" s="26" t="s">
        <v>70</v>
      </c>
      <c r="K435" s="64">
        <v>45597</v>
      </c>
      <c r="L435" s="64">
        <v>45597</v>
      </c>
      <c r="M435" s="64">
        <v>45597</v>
      </c>
      <c r="N435" s="64">
        <v>47422</v>
      </c>
    </row>
    <row r="436" spans="1:14" ht="24.95" customHeight="1">
      <c r="A436" s="76">
        <v>6</v>
      </c>
      <c r="B436" s="77" t="s">
        <v>866</v>
      </c>
      <c r="C436" s="76"/>
      <c r="D436" s="35"/>
      <c r="E436" s="26"/>
      <c r="F436" s="46"/>
      <c r="G436" s="48"/>
      <c r="H436" s="73"/>
      <c r="I436" s="63"/>
      <c r="J436" s="26"/>
      <c r="K436" s="64"/>
      <c r="L436" s="64"/>
      <c r="M436" s="62"/>
      <c r="N436" s="55"/>
    </row>
    <row r="437" spans="1:14" s="333" customFormat="1" ht="24.95" customHeight="1">
      <c r="A437" s="76">
        <v>7</v>
      </c>
      <c r="B437" s="77" t="s">
        <v>364</v>
      </c>
      <c r="C437" s="27"/>
      <c r="D437" s="24"/>
      <c r="E437" s="26"/>
      <c r="F437" s="46"/>
      <c r="G437" s="48"/>
      <c r="H437" s="73"/>
      <c r="I437" s="63"/>
      <c r="J437" s="26"/>
      <c r="K437" s="64"/>
      <c r="L437" s="64"/>
      <c r="M437" s="62"/>
      <c r="N437" s="55"/>
    </row>
    <row r="438" spans="1:14" s="334" customFormat="1" ht="24.95" customHeight="1">
      <c r="A438" s="76">
        <v>10</v>
      </c>
      <c r="B438" s="76" t="s">
        <v>650</v>
      </c>
      <c r="C438" s="27" t="s">
        <v>55</v>
      </c>
      <c r="D438" s="84" t="s">
        <v>867</v>
      </c>
      <c r="E438" s="26" t="s">
        <v>868</v>
      </c>
      <c r="F438" s="46" t="s">
        <v>29</v>
      </c>
      <c r="G438" s="48">
        <v>28221</v>
      </c>
      <c r="H438" s="73" t="s">
        <v>805</v>
      </c>
      <c r="I438" s="63" t="s">
        <v>22</v>
      </c>
      <c r="J438" s="26" t="s">
        <v>23</v>
      </c>
      <c r="K438" s="64">
        <v>38720</v>
      </c>
      <c r="L438" s="64">
        <v>45754</v>
      </c>
      <c r="M438" s="64">
        <v>45754</v>
      </c>
      <c r="N438" s="204">
        <v>47573</v>
      </c>
    </row>
    <row r="439" spans="1:14" ht="24.95" customHeight="1">
      <c r="A439" s="76">
        <v>11</v>
      </c>
      <c r="B439" s="76" t="s">
        <v>655</v>
      </c>
      <c r="C439" s="27" t="str">
        <f>$C$440</f>
        <v>UR 4Admin</v>
      </c>
      <c r="D439" s="24" t="s">
        <v>869</v>
      </c>
      <c r="E439" s="107" t="s">
        <v>870</v>
      </c>
      <c r="F439" s="46" t="s">
        <v>20</v>
      </c>
      <c r="G439" s="48">
        <v>28414</v>
      </c>
      <c r="H439" s="73" t="s">
        <v>805</v>
      </c>
      <c r="I439" s="63" t="s">
        <v>22</v>
      </c>
      <c r="J439" s="26" t="s">
        <v>30</v>
      </c>
      <c r="K439" s="64">
        <v>39861</v>
      </c>
      <c r="L439" s="64">
        <v>45595</v>
      </c>
      <c r="M439" s="286">
        <v>45474</v>
      </c>
      <c r="N439" s="55">
        <v>47299</v>
      </c>
    </row>
    <row r="440" spans="1:14" ht="24.95" customHeight="1">
      <c r="A440" s="76">
        <v>12</v>
      </c>
      <c r="B440" s="76" t="s">
        <v>205</v>
      </c>
      <c r="C440" s="27" t="s">
        <v>35</v>
      </c>
      <c r="D440" s="24" t="s">
        <v>871</v>
      </c>
      <c r="E440" s="107" t="s">
        <v>872</v>
      </c>
      <c r="F440" s="46" t="s">
        <v>29</v>
      </c>
      <c r="G440" s="48">
        <v>27112</v>
      </c>
      <c r="H440" s="73" t="s">
        <v>805</v>
      </c>
      <c r="I440" s="63" t="s">
        <v>22</v>
      </c>
      <c r="J440" s="26" t="s">
        <v>30</v>
      </c>
      <c r="K440" s="64">
        <v>35690</v>
      </c>
      <c r="L440" s="64">
        <v>42795</v>
      </c>
      <c r="M440" s="286">
        <v>45078</v>
      </c>
      <c r="N440" s="55">
        <v>46934</v>
      </c>
    </row>
    <row r="441" spans="1:14" ht="24.95" customHeight="1">
      <c r="A441" s="76">
        <v>13</v>
      </c>
      <c r="B441" s="24" t="s">
        <v>190</v>
      </c>
      <c r="C441" s="27" t="s">
        <v>35</v>
      </c>
      <c r="D441" s="24" t="s">
        <v>191</v>
      </c>
      <c r="E441" s="26" t="s">
        <v>192</v>
      </c>
      <c r="F441" s="46" t="s">
        <v>20</v>
      </c>
      <c r="G441" s="48">
        <v>25562</v>
      </c>
      <c r="H441" s="73" t="s">
        <v>805</v>
      </c>
      <c r="I441" s="63" t="s">
        <v>22</v>
      </c>
      <c r="J441" s="26" t="s">
        <v>30</v>
      </c>
      <c r="K441" s="64">
        <v>37249</v>
      </c>
      <c r="L441" s="64">
        <v>45392</v>
      </c>
      <c r="M441" s="65" t="s">
        <v>193</v>
      </c>
      <c r="N441" s="65">
        <v>46934</v>
      </c>
    </row>
    <row r="442" spans="1:14" ht="24.95" customHeight="1">
      <c r="B442" s="76" t="s">
        <v>74</v>
      </c>
      <c r="C442" s="27" t="s">
        <v>35</v>
      </c>
      <c r="D442" s="24" t="s">
        <v>875</v>
      </c>
      <c r="E442" s="35" t="s">
        <v>876</v>
      </c>
      <c r="F442" s="46" t="s">
        <v>20</v>
      </c>
      <c r="G442" s="235">
        <v>26128</v>
      </c>
      <c r="H442" s="73" t="s">
        <v>805</v>
      </c>
      <c r="I442" s="63" t="s">
        <v>22</v>
      </c>
      <c r="J442" s="26" t="s">
        <v>30</v>
      </c>
      <c r="K442" s="100">
        <v>38825</v>
      </c>
      <c r="L442" s="100">
        <v>45278</v>
      </c>
      <c r="M442" s="62">
        <v>45108</v>
      </c>
      <c r="N442" s="55">
        <v>46934</v>
      </c>
    </row>
    <row r="443" spans="1:14" ht="24.95" customHeight="1">
      <c r="A443" s="76">
        <v>2</v>
      </c>
      <c r="B443" s="76" t="s">
        <v>374</v>
      </c>
      <c r="C443" s="27" t="s">
        <v>35</v>
      </c>
      <c r="D443" s="24" t="s">
        <v>877</v>
      </c>
      <c r="E443" s="26" t="s">
        <v>878</v>
      </c>
      <c r="F443" s="46" t="s">
        <v>29</v>
      </c>
      <c r="G443" s="48">
        <v>27078</v>
      </c>
      <c r="H443" s="73" t="s">
        <v>805</v>
      </c>
      <c r="I443" s="63" t="s">
        <v>22</v>
      </c>
      <c r="J443" s="26" t="s">
        <v>30</v>
      </c>
      <c r="K443" s="64">
        <v>37315</v>
      </c>
      <c r="L443" s="64">
        <v>45490</v>
      </c>
      <c r="M443" s="62">
        <v>45108</v>
      </c>
      <c r="N443" s="55">
        <v>46934</v>
      </c>
    </row>
    <row r="444" spans="1:14" ht="24.95" customHeight="1">
      <c r="B444" s="76" t="s">
        <v>780</v>
      </c>
      <c r="C444" s="27" t="s">
        <v>39</v>
      </c>
      <c r="D444" s="24" t="s">
        <v>881</v>
      </c>
      <c r="E444" s="26" t="s">
        <v>882</v>
      </c>
      <c r="F444" s="46" t="s">
        <v>29</v>
      </c>
      <c r="G444" s="48">
        <v>27376</v>
      </c>
      <c r="H444" s="73" t="s">
        <v>805</v>
      </c>
      <c r="I444" s="63" t="s">
        <v>22</v>
      </c>
      <c r="J444" s="26" t="s">
        <v>30</v>
      </c>
      <c r="K444" s="64">
        <v>42948</v>
      </c>
      <c r="L444" s="64">
        <v>45278</v>
      </c>
      <c r="M444" s="62">
        <v>45108</v>
      </c>
      <c r="N444" s="55">
        <v>46934</v>
      </c>
    </row>
    <row r="445" spans="1:14" ht="24.95" customHeight="1">
      <c r="B445" s="76" t="s">
        <v>1757</v>
      </c>
      <c r="C445" s="27" t="s">
        <v>41</v>
      </c>
      <c r="D445" s="24" t="s">
        <v>883</v>
      </c>
      <c r="E445" s="26" t="s">
        <v>884</v>
      </c>
      <c r="F445" s="46" t="s">
        <v>29</v>
      </c>
      <c r="G445" s="48">
        <v>27285</v>
      </c>
      <c r="H445" s="73" t="s">
        <v>805</v>
      </c>
      <c r="I445" s="63" t="s">
        <v>22</v>
      </c>
      <c r="J445" s="26" t="s">
        <v>30</v>
      </c>
      <c r="K445" s="64">
        <v>39861</v>
      </c>
      <c r="L445" s="64">
        <v>42795</v>
      </c>
      <c r="M445" s="286">
        <v>45078</v>
      </c>
      <c r="N445" s="55">
        <v>46934</v>
      </c>
    </row>
    <row r="446" spans="1:14" ht="24.95" customHeight="1">
      <c r="A446" s="76">
        <v>3</v>
      </c>
      <c r="B446" s="76" t="s">
        <v>226</v>
      </c>
      <c r="C446" s="27" t="s">
        <v>85</v>
      </c>
      <c r="D446" s="24" t="s">
        <v>879</v>
      </c>
      <c r="E446" s="49" t="s">
        <v>880</v>
      </c>
      <c r="F446" s="46" t="s">
        <v>20</v>
      </c>
      <c r="G446" s="48">
        <v>33348</v>
      </c>
      <c r="H446" s="73" t="s">
        <v>805</v>
      </c>
      <c r="I446" s="63" t="s">
        <v>22</v>
      </c>
      <c r="J446" s="26" t="s">
        <v>30</v>
      </c>
      <c r="K446" s="3"/>
      <c r="L446" s="3"/>
      <c r="M446" s="3"/>
      <c r="N446" s="3"/>
    </row>
    <row r="447" spans="1:14" ht="24.95" customHeight="1">
      <c r="B447" s="76" t="s">
        <v>84</v>
      </c>
      <c r="C447" s="27" t="s">
        <v>85</v>
      </c>
      <c r="D447" s="24" t="s">
        <v>889</v>
      </c>
      <c r="E447" s="35"/>
      <c r="F447" s="35"/>
      <c r="G447" s="47"/>
      <c r="H447" s="215"/>
      <c r="I447" s="35"/>
      <c r="J447" s="35"/>
      <c r="K447" s="100"/>
      <c r="L447" s="100"/>
      <c r="M447" s="62"/>
      <c r="N447" s="62"/>
    </row>
    <row r="448" spans="1:14" ht="24.95" customHeight="1">
      <c r="A448" s="76">
        <v>4</v>
      </c>
      <c r="B448" s="76" t="s">
        <v>44</v>
      </c>
      <c r="C448" s="27" t="s">
        <v>45</v>
      </c>
      <c r="D448" s="24" t="s">
        <v>891</v>
      </c>
      <c r="E448" s="26" t="s">
        <v>890</v>
      </c>
      <c r="F448" s="46" t="s">
        <v>20</v>
      </c>
      <c r="G448" s="48">
        <v>27962</v>
      </c>
      <c r="H448" s="73" t="s">
        <v>805</v>
      </c>
      <c r="I448" s="63" t="s">
        <v>22</v>
      </c>
      <c r="J448" s="26" t="s">
        <v>50</v>
      </c>
      <c r="K448" s="64">
        <v>38442</v>
      </c>
      <c r="L448" s="64">
        <v>38442</v>
      </c>
      <c r="M448" s="286">
        <v>45078</v>
      </c>
      <c r="N448" s="55">
        <v>46934</v>
      </c>
    </row>
    <row r="449" spans="1:14" ht="24.95" customHeight="1">
      <c r="B449" s="76" t="s">
        <v>44</v>
      </c>
      <c r="C449" s="27" t="s">
        <v>45</v>
      </c>
      <c r="D449" s="84" t="s">
        <v>893</v>
      </c>
      <c r="E449" s="26" t="s">
        <v>892</v>
      </c>
      <c r="F449" s="46" t="s">
        <v>20</v>
      </c>
      <c r="G449" s="48">
        <v>25994</v>
      </c>
      <c r="H449" s="73" t="s">
        <v>805</v>
      </c>
      <c r="I449" s="63" t="s">
        <v>22</v>
      </c>
      <c r="J449" s="26" t="s">
        <v>50</v>
      </c>
      <c r="K449" s="64">
        <v>40313</v>
      </c>
      <c r="L449" s="64">
        <v>40313</v>
      </c>
      <c r="M449" s="286">
        <v>45078</v>
      </c>
      <c r="N449" s="55">
        <v>46934</v>
      </c>
    </row>
    <row r="450" spans="1:14" ht="24.95" customHeight="1">
      <c r="B450" s="76" t="s">
        <v>44</v>
      </c>
      <c r="C450" s="27" t="s">
        <v>45</v>
      </c>
      <c r="D450" s="84" t="s">
        <v>895</v>
      </c>
      <c r="E450" s="26" t="s">
        <v>894</v>
      </c>
      <c r="F450" s="46" t="s">
        <v>20</v>
      </c>
      <c r="G450" s="48">
        <v>25743</v>
      </c>
      <c r="H450" s="73" t="s">
        <v>805</v>
      </c>
      <c r="I450" s="63" t="s">
        <v>22</v>
      </c>
      <c r="J450" s="26" t="s">
        <v>50</v>
      </c>
      <c r="K450" s="64">
        <v>40313</v>
      </c>
      <c r="L450" s="64">
        <v>40313</v>
      </c>
      <c r="M450" s="62">
        <v>45839</v>
      </c>
      <c r="N450" s="55">
        <v>47658</v>
      </c>
    </row>
    <row r="451" spans="1:14" ht="24.95" customHeight="1">
      <c r="B451" s="76" t="s">
        <v>46</v>
      </c>
      <c r="C451" s="27" t="s">
        <v>47</v>
      </c>
      <c r="D451" s="24" t="s">
        <v>896</v>
      </c>
      <c r="E451" s="202"/>
      <c r="F451" s="201"/>
      <c r="G451" s="203"/>
      <c r="H451" s="205"/>
      <c r="I451" s="206"/>
      <c r="J451" s="202"/>
      <c r="K451" s="207"/>
      <c r="L451" s="207"/>
      <c r="M451" s="208"/>
      <c r="N451" s="209"/>
    </row>
    <row r="452" spans="1:14" ht="24.95" customHeight="1">
      <c r="B452" s="77" t="s">
        <v>897</v>
      </c>
      <c r="C452" s="125"/>
      <c r="D452" s="3"/>
      <c r="E452" s="126"/>
      <c r="F452" s="126"/>
      <c r="G452" s="133"/>
      <c r="H452" s="137"/>
      <c r="I452" s="126"/>
      <c r="J452" s="126"/>
      <c r="K452" s="138"/>
      <c r="L452" s="138"/>
      <c r="M452" s="62"/>
      <c r="N452" s="139"/>
    </row>
    <row r="453" spans="1:14" ht="24.95" customHeight="1">
      <c r="A453" s="76">
        <v>5</v>
      </c>
      <c r="B453" s="76" t="s">
        <v>360</v>
      </c>
      <c r="C453" s="27" t="s">
        <v>67</v>
      </c>
      <c r="D453" s="76" t="s">
        <v>1730</v>
      </c>
      <c r="E453" s="63" t="s">
        <v>1731</v>
      </c>
      <c r="F453" s="63" t="s">
        <v>29</v>
      </c>
      <c r="G453" s="48">
        <v>32550</v>
      </c>
      <c r="H453" s="73" t="s">
        <v>805</v>
      </c>
      <c r="I453" s="63" t="s">
        <v>22</v>
      </c>
      <c r="J453" s="26" t="s">
        <v>70</v>
      </c>
      <c r="K453" s="64">
        <v>45747</v>
      </c>
      <c r="L453" s="64">
        <v>45747</v>
      </c>
      <c r="M453" s="62">
        <v>45755</v>
      </c>
      <c r="N453" s="214">
        <v>120628</v>
      </c>
    </row>
    <row r="454" spans="1:14" ht="24.95" customHeight="1">
      <c r="A454" s="76">
        <v>6</v>
      </c>
      <c r="B454" s="76" t="s">
        <v>898</v>
      </c>
      <c r="C454" s="27" t="s">
        <v>41</v>
      </c>
      <c r="D454" s="24" t="s">
        <v>899</v>
      </c>
      <c r="E454" s="26" t="s">
        <v>900</v>
      </c>
      <c r="F454" s="46" t="s">
        <v>29</v>
      </c>
      <c r="G454" s="48">
        <v>25472</v>
      </c>
      <c r="H454" s="73" t="s">
        <v>805</v>
      </c>
      <c r="I454" s="63" t="s">
        <v>22</v>
      </c>
      <c r="J454" s="26" t="s">
        <v>30</v>
      </c>
      <c r="K454" s="64">
        <v>35737</v>
      </c>
      <c r="L454" s="64">
        <v>41456</v>
      </c>
      <c r="M454" s="286">
        <v>45078</v>
      </c>
      <c r="N454" s="55">
        <v>46934</v>
      </c>
    </row>
    <row r="455" spans="1:14" ht="24.95" customHeight="1">
      <c r="B455" s="76" t="s">
        <v>212</v>
      </c>
      <c r="C455" s="27" t="s">
        <v>39</v>
      </c>
      <c r="D455" s="24" t="s">
        <v>382</v>
      </c>
      <c r="E455" s="27" t="s">
        <v>383</v>
      </c>
      <c r="F455" s="86" t="s">
        <v>29</v>
      </c>
      <c r="G455" s="88">
        <v>26220</v>
      </c>
      <c r="H455" s="73" t="s">
        <v>805</v>
      </c>
      <c r="I455" s="97" t="s">
        <v>22</v>
      </c>
      <c r="J455" s="26" t="s">
        <v>30</v>
      </c>
      <c r="K455" s="88">
        <v>35690</v>
      </c>
      <c r="L455" s="88">
        <v>43466</v>
      </c>
      <c r="M455" s="72">
        <v>45108</v>
      </c>
      <c r="N455" s="72">
        <v>46934</v>
      </c>
    </row>
    <row r="456" spans="1:14" ht="24.95" customHeight="1">
      <c r="B456" s="76" t="s">
        <v>393</v>
      </c>
      <c r="C456" s="27" t="s">
        <v>85</v>
      </c>
      <c r="D456" s="84" t="s">
        <v>903</v>
      </c>
      <c r="E456" s="49" t="s">
        <v>904</v>
      </c>
      <c r="F456" s="46" t="s">
        <v>29</v>
      </c>
      <c r="G456" s="48">
        <v>31586</v>
      </c>
      <c r="H456" s="73" t="s">
        <v>805</v>
      </c>
      <c r="I456" s="63" t="s">
        <v>22</v>
      </c>
      <c r="J456" s="26" t="s">
        <v>30</v>
      </c>
      <c r="K456" s="64">
        <v>43282</v>
      </c>
      <c r="L456" s="64">
        <v>43282</v>
      </c>
      <c r="M456" s="286">
        <v>45078</v>
      </c>
      <c r="N456" s="55">
        <v>46934</v>
      </c>
    </row>
    <row r="457" spans="1:14" ht="24.95" customHeight="1">
      <c r="B457" s="76" t="s">
        <v>1769</v>
      </c>
      <c r="C457" s="27" t="s">
        <v>45</v>
      </c>
      <c r="D457" s="24" t="s">
        <v>907</v>
      </c>
      <c r="E457" s="49" t="s">
        <v>908</v>
      </c>
      <c r="F457" s="46" t="s">
        <v>29</v>
      </c>
      <c r="G457" s="48">
        <v>28413</v>
      </c>
      <c r="H457" s="73" t="s">
        <v>805</v>
      </c>
      <c r="I457" s="63" t="s">
        <v>22</v>
      </c>
      <c r="J457" s="26" t="s">
        <v>50</v>
      </c>
      <c r="K457" s="64">
        <v>43686</v>
      </c>
      <c r="L457" s="64">
        <v>43686</v>
      </c>
      <c r="M457" s="62">
        <v>45839</v>
      </c>
      <c r="N457" s="57">
        <v>47664</v>
      </c>
    </row>
    <row r="458" spans="1:14" ht="24.95" customHeight="1">
      <c r="B458" s="76" t="s">
        <v>44</v>
      </c>
      <c r="C458" s="27" t="s">
        <v>45</v>
      </c>
      <c r="D458" s="24" t="s">
        <v>905</v>
      </c>
      <c r="E458" s="26" t="s">
        <v>906</v>
      </c>
      <c r="F458" s="46" t="s">
        <v>20</v>
      </c>
      <c r="G458" s="48">
        <v>27728</v>
      </c>
      <c r="H458" s="73" t="s">
        <v>805</v>
      </c>
      <c r="I458" s="63" t="s">
        <v>22</v>
      </c>
      <c r="J458" s="26" t="s">
        <v>50</v>
      </c>
      <c r="K458" s="64">
        <v>37408</v>
      </c>
      <c r="L458" s="64">
        <v>37408</v>
      </c>
      <c r="M458" s="286">
        <v>45078</v>
      </c>
      <c r="N458" s="55">
        <v>46934</v>
      </c>
    </row>
    <row r="459" spans="1:14" s="3" customFormat="1" ht="24.95" customHeight="1">
      <c r="A459" s="76">
        <v>1</v>
      </c>
      <c r="B459" s="76" t="s">
        <v>100</v>
      </c>
      <c r="C459" s="27" t="s">
        <v>47</v>
      </c>
      <c r="D459" s="24" t="s">
        <v>909</v>
      </c>
      <c r="E459" s="262" t="s">
        <v>910</v>
      </c>
      <c r="F459" s="46" t="s">
        <v>20</v>
      </c>
      <c r="G459" s="48">
        <v>24520</v>
      </c>
      <c r="H459" s="73" t="s">
        <v>805</v>
      </c>
      <c r="I459" s="63" t="s">
        <v>22</v>
      </c>
      <c r="J459" s="26" t="s">
        <v>50</v>
      </c>
      <c r="K459" s="64">
        <v>43313</v>
      </c>
      <c r="L459" s="64">
        <v>43313</v>
      </c>
      <c r="M459" s="62">
        <v>44609</v>
      </c>
      <c r="N459" s="55">
        <v>46435</v>
      </c>
    </row>
    <row r="460" spans="1:14" ht="24.95" customHeight="1">
      <c r="A460" s="76">
        <v>2</v>
      </c>
      <c r="B460" s="31" t="s">
        <v>911</v>
      </c>
      <c r="C460" s="27"/>
      <c r="D460" s="84" t="s">
        <v>52</v>
      </c>
      <c r="E460" s="26"/>
      <c r="F460" s="46"/>
      <c r="G460" s="48"/>
      <c r="H460" s="73"/>
      <c r="I460" s="63"/>
      <c r="J460" s="26"/>
      <c r="K460" s="64"/>
      <c r="L460" s="64"/>
      <c r="M460" s="62"/>
      <c r="N460" s="55"/>
    </row>
    <row r="461" spans="1:14" ht="24.95" customHeight="1">
      <c r="A461" s="76">
        <v>3</v>
      </c>
      <c r="B461" s="76" t="s">
        <v>226</v>
      </c>
      <c r="C461" s="27" t="s">
        <v>85</v>
      </c>
      <c r="D461" s="24" t="s">
        <v>912</v>
      </c>
      <c r="E461" s="107" t="s">
        <v>913</v>
      </c>
      <c r="F461" s="46" t="s">
        <v>29</v>
      </c>
      <c r="G461" s="48">
        <v>28096</v>
      </c>
      <c r="H461" s="73" t="s">
        <v>805</v>
      </c>
      <c r="I461" s="63" t="s">
        <v>22</v>
      </c>
      <c r="J461" s="26" t="s">
        <v>30</v>
      </c>
      <c r="K461" s="64">
        <v>37445</v>
      </c>
      <c r="L461" s="64">
        <v>37445</v>
      </c>
      <c r="M461" s="286">
        <v>45078</v>
      </c>
      <c r="N461" s="55">
        <v>46934</v>
      </c>
    </row>
    <row r="462" spans="1:14" ht="24.95" customHeight="1">
      <c r="A462" s="76">
        <v>4</v>
      </c>
      <c r="B462" s="76" t="s">
        <v>914</v>
      </c>
      <c r="C462" s="27" t="s">
        <v>45</v>
      </c>
      <c r="D462" s="84" t="s">
        <v>915</v>
      </c>
      <c r="E462" s="263" t="s">
        <v>916</v>
      </c>
      <c r="F462" s="46" t="s">
        <v>20</v>
      </c>
      <c r="G462" s="48">
        <v>31235</v>
      </c>
      <c r="H462" s="73" t="s">
        <v>805</v>
      </c>
      <c r="I462" s="63" t="s">
        <v>22</v>
      </c>
      <c r="J462" s="26" t="s">
        <v>50</v>
      </c>
      <c r="K462" s="64">
        <v>43656</v>
      </c>
      <c r="L462" s="64">
        <v>43656</v>
      </c>
      <c r="M462" s="62">
        <v>45474</v>
      </c>
      <c r="N462" s="55">
        <v>47299</v>
      </c>
    </row>
    <row r="463" spans="1:14" ht="24.95" customHeight="1">
      <c r="A463" s="76">
        <v>5</v>
      </c>
      <c r="B463" s="76" t="s">
        <v>914</v>
      </c>
      <c r="C463" s="27" t="s">
        <v>47</v>
      </c>
      <c r="D463" s="84" t="s">
        <v>917</v>
      </c>
      <c r="E463" s="26" t="s">
        <v>918</v>
      </c>
      <c r="F463" s="46" t="s">
        <v>20</v>
      </c>
      <c r="G463" s="48">
        <v>24619</v>
      </c>
      <c r="H463" s="73" t="s">
        <v>805</v>
      </c>
      <c r="I463" s="63" t="s">
        <v>22</v>
      </c>
      <c r="J463" s="26" t="s">
        <v>50</v>
      </c>
      <c r="K463" s="64" t="s">
        <v>821</v>
      </c>
      <c r="L463" s="64">
        <v>34468</v>
      </c>
      <c r="M463" s="62">
        <v>44743</v>
      </c>
      <c r="N463" s="55">
        <v>46534</v>
      </c>
    </row>
    <row r="464" spans="1:14" s="13" customFormat="1" ht="24.95" customHeight="1">
      <c r="A464" s="76">
        <v>6</v>
      </c>
      <c r="B464" s="252" t="s">
        <v>919</v>
      </c>
      <c r="C464" s="77"/>
      <c r="D464" s="252"/>
      <c r="E464" s="252"/>
      <c r="F464" s="252"/>
      <c r="G464" s="301"/>
      <c r="H464" s="302"/>
      <c r="I464" s="252"/>
      <c r="J464" s="252"/>
      <c r="K464" s="280"/>
      <c r="L464" s="280"/>
      <c r="M464" s="281"/>
      <c r="N464" s="281"/>
    </row>
    <row r="465" spans="1:14" ht="24.95" customHeight="1">
      <c r="A465" s="76">
        <v>7</v>
      </c>
      <c r="B465" s="252" t="s">
        <v>920</v>
      </c>
      <c r="C465" s="127"/>
      <c r="D465" s="122"/>
      <c r="E465" s="252"/>
      <c r="F465" s="252"/>
      <c r="G465" s="301"/>
      <c r="H465" s="302"/>
      <c r="I465" s="252"/>
      <c r="J465" s="252"/>
      <c r="K465" s="280"/>
      <c r="L465" s="280"/>
      <c r="M465" s="281"/>
      <c r="N465" s="281"/>
    </row>
    <row r="466" spans="1:14" ht="24.95" customHeight="1">
      <c r="A466" s="76">
        <v>9</v>
      </c>
      <c r="B466" s="137" t="s">
        <v>921</v>
      </c>
      <c r="C466" s="198"/>
      <c r="D466" s="80" t="s">
        <v>52</v>
      </c>
      <c r="E466" s="126"/>
      <c r="F466" s="126"/>
      <c r="G466" s="133"/>
      <c r="H466" s="137"/>
      <c r="I466" s="126"/>
      <c r="J466" s="126"/>
      <c r="K466" s="138"/>
      <c r="L466" s="138"/>
      <c r="M466" s="139"/>
      <c r="N466" s="139"/>
    </row>
    <row r="467" spans="1:14" ht="24.95" customHeight="1">
      <c r="A467" s="76">
        <v>13</v>
      </c>
      <c r="B467" s="103" t="s">
        <v>922</v>
      </c>
      <c r="C467" s="211"/>
      <c r="D467" s="129"/>
      <c r="E467" s="26"/>
      <c r="F467" s="46"/>
      <c r="G467" s="48"/>
      <c r="H467" s="73"/>
      <c r="I467" s="63"/>
      <c r="J467" s="26"/>
      <c r="K467" s="64"/>
      <c r="L467" s="64"/>
      <c r="M467" s="214"/>
      <c r="N467" s="65"/>
    </row>
    <row r="468" spans="1:14" s="2" customFormat="1" ht="24.95" customHeight="1">
      <c r="A468" s="76">
        <v>14</v>
      </c>
      <c r="B468" s="82" t="s">
        <v>923</v>
      </c>
      <c r="C468" s="76" t="s">
        <v>129</v>
      </c>
      <c r="D468" s="24" t="s">
        <v>924</v>
      </c>
      <c r="E468" s="96" t="s">
        <v>925</v>
      </c>
      <c r="F468" s="46" t="s">
        <v>20</v>
      </c>
      <c r="G468" s="48">
        <v>28421</v>
      </c>
      <c r="H468" s="73" t="s">
        <v>926</v>
      </c>
      <c r="I468" s="63" t="s">
        <v>22</v>
      </c>
      <c r="J468" s="26" t="s">
        <v>62</v>
      </c>
      <c r="K468" s="64">
        <v>37552</v>
      </c>
      <c r="L468" s="64">
        <v>44105</v>
      </c>
      <c r="M468" s="62">
        <v>44933</v>
      </c>
      <c r="N468" s="62" t="s">
        <v>927</v>
      </c>
    </row>
    <row r="469" spans="1:14" s="2" customFormat="1" ht="24.95" customHeight="1">
      <c r="A469" s="76">
        <v>15</v>
      </c>
      <c r="B469" s="82" t="s">
        <v>923</v>
      </c>
      <c r="C469" s="76" t="s">
        <v>129</v>
      </c>
      <c r="D469" s="24" t="s">
        <v>928</v>
      </c>
      <c r="E469" s="49" t="s">
        <v>929</v>
      </c>
      <c r="F469" s="46" t="s">
        <v>20</v>
      </c>
      <c r="G469" s="48">
        <v>29852</v>
      </c>
      <c r="H469" s="73" t="s">
        <v>926</v>
      </c>
      <c r="I469" s="63" t="s">
        <v>22</v>
      </c>
      <c r="J469" s="26" t="s">
        <v>62</v>
      </c>
      <c r="K469" s="64">
        <v>41022</v>
      </c>
      <c r="L469" s="64">
        <v>44348</v>
      </c>
      <c r="M469" s="62">
        <v>45474</v>
      </c>
      <c r="N469" s="62">
        <v>47299</v>
      </c>
    </row>
    <row r="470" spans="1:14" s="2" customFormat="1" ht="24.95" customHeight="1">
      <c r="A470" s="76"/>
      <c r="B470" s="82" t="s">
        <v>923</v>
      </c>
      <c r="C470" s="76" t="s">
        <v>129</v>
      </c>
      <c r="D470" s="82" t="s">
        <v>930</v>
      </c>
      <c r="E470" s="107" t="s">
        <v>931</v>
      </c>
      <c r="F470" s="46" t="s">
        <v>29</v>
      </c>
      <c r="G470" s="48">
        <v>24069</v>
      </c>
      <c r="H470" s="73" t="s">
        <v>926</v>
      </c>
      <c r="I470" s="63" t="s">
        <v>22</v>
      </c>
      <c r="J470" s="26" t="s">
        <v>62</v>
      </c>
      <c r="K470" s="64">
        <v>34869</v>
      </c>
      <c r="L470" s="64">
        <v>44348</v>
      </c>
      <c r="M470" s="62">
        <v>44933</v>
      </c>
      <c r="N470" s="62" t="s">
        <v>927</v>
      </c>
    </row>
    <row r="471" spans="1:14" s="2" customFormat="1" ht="24.95" customHeight="1">
      <c r="A471" s="76"/>
      <c r="B471" s="82" t="s">
        <v>923</v>
      </c>
      <c r="C471" s="76" t="s">
        <v>129</v>
      </c>
      <c r="D471" s="24" t="s">
        <v>932</v>
      </c>
      <c r="E471" s="49" t="s">
        <v>933</v>
      </c>
      <c r="F471" s="46" t="s">
        <v>20</v>
      </c>
      <c r="G471" s="48">
        <v>29562</v>
      </c>
      <c r="H471" s="73" t="s">
        <v>926</v>
      </c>
      <c r="I471" s="63" t="s">
        <v>22</v>
      </c>
      <c r="J471" s="26" t="s">
        <v>62</v>
      </c>
      <c r="K471" s="64">
        <v>39336</v>
      </c>
      <c r="L471" s="64">
        <v>44440</v>
      </c>
      <c r="M471" s="62">
        <v>44933</v>
      </c>
      <c r="N471" s="62" t="s">
        <v>927</v>
      </c>
    </row>
    <row r="472" spans="1:14" s="2" customFormat="1" ht="24.95" customHeight="1">
      <c r="A472" s="76">
        <v>17</v>
      </c>
      <c r="B472" s="82" t="s">
        <v>524</v>
      </c>
      <c r="C472" s="76" t="s">
        <v>123</v>
      </c>
      <c r="D472" s="24" t="s">
        <v>934</v>
      </c>
      <c r="E472" s="263" t="s">
        <v>935</v>
      </c>
      <c r="F472" s="46" t="s">
        <v>29</v>
      </c>
      <c r="G472" s="48">
        <v>31644</v>
      </c>
      <c r="H472" s="73" t="s">
        <v>926</v>
      </c>
      <c r="I472" s="63" t="s">
        <v>22</v>
      </c>
      <c r="J472" s="26" t="s">
        <v>62</v>
      </c>
      <c r="K472" s="64">
        <v>43617</v>
      </c>
      <c r="L472" s="64">
        <v>43617</v>
      </c>
      <c r="M472" s="62">
        <v>45474</v>
      </c>
      <c r="N472" s="62">
        <v>47299</v>
      </c>
    </row>
    <row r="473" spans="1:14" s="2" customFormat="1" ht="24.95" customHeight="1">
      <c r="A473" s="76"/>
      <c r="B473" s="82" t="s">
        <v>524</v>
      </c>
      <c r="C473" s="76" t="s">
        <v>123</v>
      </c>
      <c r="D473" s="24" t="s">
        <v>936</v>
      </c>
      <c r="E473" s="262" t="s">
        <v>937</v>
      </c>
      <c r="F473" s="46" t="s">
        <v>20</v>
      </c>
      <c r="G473" s="48">
        <v>31188</v>
      </c>
      <c r="H473" s="73" t="s">
        <v>926</v>
      </c>
      <c r="I473" s="63" t="s">
        <v>22</v>
      </c>
      <c r="J473" s="26" t="s">
        <v>62</v>
      </c>
      <c r="K473" s="64">
        <v>43617</v>
      </c>
      <c r="L473" s="64">
        <v>43617</v>
      </c>
      <c r="M473" s="62">
        <v>45475</v>
      </c>
      <c r="N473" s="62">
        <v>47299</v>
      </c>
    </row>
    <row r="474" spans="1:14" s="2" customFormat="1" ht="24.95" customHeight="1">
      <c r="A474" s="76">
        <v>1</v>
      </c>
      <c r="B474" s="82" t="s">
        <v>524</v>
      </c>
      <c r="C474" s="76" t="s">
        <v>123</v>
      </c>
      <c r="D474" s="24" t="s">
        <v>938</v>
      </c>
      <c r="E474" s="46" t="s">
        <v>939</v>
      </c>
      <c r="F474" s="46" t="s">
        <v>29</v>
      </c>
      <c r="G474" s="48">
        <v>31244</v>
      </c>
      <c r="H474" s="73" t="s">
        <v>926</v>
      </c>
      <c r="I474" s="63" t="s">
        <v>22</v>
      </c>
      <c r="J474" s="26" t="s">
        <v>62</v>
      </c>
      <c r="K474" s="64">
        <v>42705</v>
      </c>
      <c r="L474" s="64">
        <v>42705</v>
      </c>
      <c r="M474" s="62">
        <v>44933</v>
      </c>
      <c r="N474" s="62" t="s">
        <v>927</v>
      </c>
    </row>
    <row r="475" spans="1:14" s="2" customFormat="1" ht="24.95" customHeight="1">
      <c r="A475" s="76">
        <v>3</v>
      </c>
      <c r="B475" s="82" t="s">
        <v>524</v>
      </c>
      <c r="C475" s="76" t="s">
        <v>123</v>
      </c>
      <c r="D475" s="27" t="s">
        <v>1545</v>
      </c>
      <c r="E475" s="107" t="s">
        <v>1546</v>
      </c>
      <c r="F475" s="46" t="s">
        <v>20</v>
      </c>
      <c r="G475" s="48">
        <v>29437</v>
      </c>
      <c r="H475" s="73" t="s">
        <v>926</v>
      </c>
      <c r="I475" s="63" t="s">
        <v>22</v>
      </c>
      <c r="J475" s="26" t="s">
        <v>62</v>
      </c>
      <c r="K475" s="64">
        <v>39631</v>
      </c>
      <c r="L475" s="64">
        <v>43282</v>
      </c>
      <c r="M475" s="98">
        <v>45108</v>
      </c>
      <c r="N475" s="98" t="s">
        <v>551</v>
      </c>
    </row>
    <row r="476" spans="1:14" s="2" customFormat="1" ht="24.95" customHeight="1">
      <c r="A476" s="76">
        <v>4</v>
      </c>
      <c r="B476" s="76" t="s">
        <v>360</v>
      </c>
      <c r="C476" s="76" t="s">
        <v>67</v>
      </c>
      <c r="D476" s="76" t="s">
        <v>1841</v>
      </c>
      <c r="E476" s="35" t="str">
        <f>'[3]BANK.TEL CONTS'!$J$68</f>
        <v>CM880551023XHD</v>
      </c>
      <c r="F476" s="35" t="s">
        <v>20</v>
      </c>
      <c r="G476" s="235">
        <f>'[3]BANK.TEL CONTS'!$I$68</f>
        <v>32319</v>
      </c>
      <c r="H476" s="215" t="s">
        <v>926</v>
      </c>
      <c r="I476" s="35" t="s">
        <v>22</v>
      </c>
      <c r="J476" s="26" t="s">
        <v>70</v>
      </c>
      <c r="K476" s="100">
        <v>45999</v>
      </c>
      <c r="L476" s="100">
        <v>45999</v>
      </c>
      <c r="M476" s="100">
        <v>45999</v>
      </c>
      <c r="N476" s="100">
        <v>47824</v>
      </c>
    </row>
    <row r="477" spans="1:14" s="2" customFormat="1" ht="24.95" customHeight="1">
      <c r="A477" s="76"/>
      <c r="B477" s="82" t="s">
        <v>627</v>
      </c>
      <c r="C477" s="76" t="s">
        <v>287</v>
      </c>
      <c r="D477" s="24" t="s">
        <v>940</v>
      </c>
      <c r="E477" s="107" t="s">
        <v>941</v>
      </c>
      <c r="F477" s="46" t="s">
        <v>20</v>
      </c>
      <c r="G477" s="48">
        <v>32907</v>
      </c>
      <c r="H477" s="73" t="s">
        <v>926</v>
      </c>
      <c r="I477" s="63" t="s">
        <v>22</v>
      </c>
      <c r="J477" s="26" t="s">
        <v>70</v>
      </c>
      <c r="K477" s="64">
        <v>43194</v>
      </c>
      <c r="L477" s="64">
        <v>43194</v>
      </c>
      <c r="M477" s="62">
        <v>44933</v>
      </c>
      <c r="N477" s="62" t="s">
        <v>927</v>
      </c>
    </row>
    <row r="478" spans="1:14" s="2" customFormat="1" ht="24.95" customHeight="1">
      <c r="A478" s="76">
        <v>6</v>
      </c>
      <c r="B478" s="82" t="s">
        <v>627</v>
      </c>
      <c r="C478" s="76" t="s">
        <v>287</v>
      </c>
      <c r="D478" s="24" t="s">
        <v>942</v>
      </c>
      <c r="E478" s="26" t="s">
        <v>943</v>
      </c>
      <c r="F478" s="46" t="s">
        <v>29</v>
      </c>
      <c r="G478" s="48">
        <v>31908</v>
      </c>
      <c r="H478" s="73" t="s">
        <v>926</v>
      </c>
      <c r="I478" s="63" t="s">
        <v>22</v>
      </c>
      <c r="J478" s="26" t="s">
        <v>70</v>
      </c>
      <c r="K478" s="64">
        <v>42278</v>
      </c>
      <c r="L478" s="64">
        <v>42278</v>
      </c>
      <c r="M478" s="62">
        <v>45474</v>
      </c>
      <c r="N478" s="62">
        <v>47299</v>
      </c>
    </row>
    <row r="479" spans="1:14" s="2" customFormat="1" ht="24.95" customHeight="1">
      <c r="A479" s="76"/>
      <c r="B479" s="82" t="s">
        <v>627</v>
      </c>
      <c r="C479" s="76" t="s">
        <v>287</v>
      </c>
      <c r="D479" s="24" t="s">
        <v>944</v>
      </c>
      <c r="E479" s="27" t="s">
        <v>945</v>
      </c>
      <c r="F479" s="86" t="s">
        <v>20</v>
      </c>
      <c r="G479" s="88">
        <v>30185</v>
      </c>
      <c r="H479" s="97" t="s">
        <v>926</v>
      </c>
      <c r="I479" s="97" t="s">
        <v>22</v>
      </c>
      <c r="J479" s="27" t="s">
        <v>70</v>
      </c>
      <c r="K479" s="88">
        <v>42278</v>
      </c>
      <c r="L479" s="88">
        <v>42278</v>
      </c>
      <c r="M479" s="62">
        <v>45474</v>
      </c>
      <c r="N479" s="62">
        <v>47299</v>
      </c>
    </row>
    <row r="480" spans="1:14" ht="24.95" customHeight="1">
      <c r="A480" s="76">
        <v>8</v>
      </c>
      <c r="B480" s="82" t="s">
        <v>1789</v>
      </c>
      <c r="C480" s="76"/>
      <c r="D480" s="212"/>
      <c r="E480" s="26"/>
      <c r="F480" s="46"/>
      <c r="G480" s="48"/>
      <c r="H480" s="73"/>
      <c r="I480" s="63"/>
      <c r="J480" s="26"/>
      <c r="K480" s="100"/>
      <c r="L480" s="100"/>
      <c r="M480" s="62"/>
      <c r="N480" s="62"/>
    </row>
    <row r="481" spans="1:14" ht="24.95" customHeight="1">
      <c r="A481" s="76">
        <v>9</v>
      </c>
      <c r="B481" s="103" t="s">
        <v>1790</v>
      </c>
      <c r="C481" s="211"/>
      <c r="D481" s="80" t="s">
        <v>52</v>
      </c>
      <c r="E481" s="26"/>
      <c r="F481" s="46"/>
      <c r="G481" s="48"/>
      <c r="H481" s="73"/>
      <c r="I481" s="63"/>
      <c r="J481" s="26"/>
      <c r="K481" s="64"/>
      <c r="L481" s="64"/>
      <c r="M481" s="214"/>
      <c r="N481" s="65"/>
    </row>
    <row r="482" spans="1:14" ht="24.95" customHeight="1">
      <c r="B482" s="82" t="s">
        <v>108</v>
      </c>
      <c r="C482" s="76" t="s">
        <v>109</v>
      </c>
      <c r="D482" s="24" t="s">
        <v>946</v>
      </c>
      <c r="E482" s="27" t="s">
        <v>947</v>
      </c>
      <c r="F482" s="86" t="s">
        <v>20</v>
      </c>
      <c r="G482" s="88">
        <v>23479</v>
      </c>
      <c r="H482" s="97" t="s">
        <v>926</v>
      </c>
      <c r="I482" s="97" t="s">
        <v>22</v>
      </c>
      <c r="J482" s="26" t="s">
        <v>62</v>
      </c>
      <c r="K482" s="88">
        <v>38720</v>
      </c>
      <c r="L482" s="88">
        <v>45091</v>
      </c>
      <c r="M482" s="303">
        <v>45108</v>
      </c>
      <c r="N482" s="291"/>
    </row>
    <row r="483" spans="1:14" s="2" customFormat="1" ht="24.95" customHeight="1">
      <c r="A483" s="76">
        <v>2</v>
      </c>
      <c r="B483" s="82" t="s">
        <v>291</v>
      </c>
      <c r="C483" s="76" t="s">
        <v>59</v>
      </c>
      <c r="D483" s="24" t="s">
        <v>948</v>
      </c>
      <c r="E483" s="107" t="s">
        <v>949</v>
      </c>
      <c r="F483" s="46" t="s">
        <v>20</v>
      </c>
      <c r="G483" s="48">
        <v>25343</v>
      </c>
      <c r="H483" s="73" t="s">
        <v>926</v>
      </c>
      <c r="I483" s="63" t="s">
        <v>22</v>
      </c>
      <c r="J483" s="26" t="s">
        <v>62</v>
      </c>
      <c r="K483" s="64">
        <v>38720</v>
      </c>
      <c r="L483" s="64">
        <v>44743</v>
      </c>
      <c r="M483" s="62">
        <v>45108</v>
      </c>
      <c r="N483" s="62" t="s">
        <v>927</v>
      </c>
    </row>
    <row r="484" spans="1:14" s="2" customFormat="1" ht="24.95" customHeight="1">
      <c r="A484" s="76">
        <v>3</v>
      </c>
      <c r="B484" s="82" t="s">
        <v>320</v>
      </c>
      <c r="C484" s="76" t="s">
        <v>129</v>
      </c>
      <c r="D484" s="24" t="s">
        <v>950</v>
      </c>
      <c r="E484" s="107" t="s">
        <v>951</v>
      </c>
      <c r="F484" s="46" t="s">
        <v>20</v>
      </c>
      <c r="G484" s="48">
        <v>30191</v>
      </c>
      <c r="H484" s="73" t="s">
        <v>926</v>
      </c>
      <c r="I484" s="63" t="s">
        <v>22</v>
      </c>
      <c r="J484" s="26" t="s">
        <v>62</v>
      </c>
      <c r="K484" s="64">
        <v>39173</v>
      </c>
      <c r="L484" s="64">
        <v>44986</v>
      </c>
      <c r="M484" s="62">
        <v>45108</v>
      </c>
      <c r="N484" s="62" t="s">
        <v>927</v>
      </c>
    </row>
    <row r="485" spans="1:14" s="2" customFormat="1" ht="24.95" customHeight="1">
      <c r="A485" s="76"/>
      <c r="B485" s="82" t="s">
        <v>320</v>
      </c>
      <c r="C485" s="76" t="s">
        <v>129</v>
      </c>
      <c r="D485" s="24" t="s">
        <v>952</v>
      </c>
      <c r="E485" s="107" t="s">
        <v>953</v>
      </c>
      <c r="F485" s="46" t="s">
        <v>29</v>
      </c>
      <c r="G485" s="48">
        <v>30233</v>
      </c>
      <c r="H485" s="73" t="s">
        <v>926</v>
      </c>
      <c r="I485" s="63" t="s">
        <v>22</v>
      </c>
      <c r="J485" s="26" t="s">
        <v>62</v>
      </c>
      <c r="K485" s="64">
        <v>39995</v>
      </c>
      <c r="L485" s="64">
        <v>44986</v>
      </c>
      <c r="M485" s="62">
        <v>45108</v>
      </c>
      <c r="N485" s="62" t="s">
        <v>927</v>
      </c>
    </row>
    <row r="486" spans="1:14" s="2" customFormat="1" ht="24.95" customHeight="1">
      <c r="A486" s="77"/>
      <c r="B486" s="82" t="s">
        <v>320</v>
      </c>
      <c r="C486" s="76" t="s">
        <v>129</v>
      </c>
      <c r="D486" s="24" t="s">
        <v>954</v>
      </c>
      <c r="E486" s="49" t="s">
        <v>955</v>
      </c>
      <c r="F486" s="46" t="s">
        <v>20</v>
      </c>
      <c r="G486" s="48">
        <v>29742</v>
      </c>
      <c r="H486" s="73" t="s">
        <v>926</v>
      </c>
      <c r="I486" s="63" t="s">
        <v>22</v>
      </c>
      <c r="J486" s="26" t="s">
        <v>62</v>
      </c>
      <c r="K486" s="64">
        <v>39173</v>
      </c>
      <c r="L486" s="64">
        <v>42795</v>
      </c>
      <c r="M486" s="159">
        <v>45474</v>
      </c>
      <c r="N486" s="159">
        <v>47299</v>
      </c>
    </row>
    <row r="487" spans="1:14" s="2" customFormat="1" ht="24.95" customHeight="1">
      <c r="A487" s="76"/>
      <c r="B487" s="82" t="s">
        <v>2037</v>
      </c>
      <c r="C487" s="76" t="s">
        <v>109</v>
      </c>
      <c r="D487" s="467" t="s">
        <v>956</v>
      </c>
      <c r="E487" s="26" t="s">
        <v>957</v>
      </c>
      <c r="F487" s="46" t="s">
        <v>20</v>
      </c>
      <c r="G487" s="48">
        <v>27232</v>
      </c>
      <c r="H487" s="73" t="s">
        <v>926</v>
      </c>
      <c r="I487" s="63" t="s">
        <v>22</v>
      </c>
      <c r="J487" s="26" t="s">
        <v>958</v>
      </c>
      <c r="K487" s="64">
        <v>45243</v>
      </c>
      <c r="L487" s="64">
        <v>46204</v>
      </c>
      <c r="M487" s="214">
        <v>46204</v>
      </c>
      <c r="N487" s="65" t="s">
        <v>959</v>
      </c>
    </row>
    <row r="488" spans="1:14" s="2" customFormat="1" ht="24.95" customHeight="1">
      <c r="A488" s="83"/>
      <c r="B488" s="82" t="s">
        <v>320</v>
      </c>
      <c r="C488" s="76" t="s">
        <v>129</v>
      </c>
      <c r="D488" s="24" t="s">
        <v>996</v>
      </c>
      <c r="E488" s="107" t="s">
        <v>997</v>
      </c>
      <c r="F488" s="46" t="s">
        <v>29</v>
      </c>
      <c r="G488" s="48">
        <v>27913</v>
      </c>
      <c r="H488" s="73" t="s">
        <v>926</v>
      </c>
      <c r="I488" s="63" t="s">
        <v>22</v>
      </c>
      <c r="J488" s="26" t="s">
        <v>62</v>
      </c>
      <c r="K488" s="64">
        <v>38838</v>
      </c>
      <c r="L488" s="64">
        <v>42795</v>
      </c>
      <c r="M488" s="214">
        <v>45108</v>
      </c>
      <c r="N488" s="65">
        <v>46934</v>
      </c>
    </row>
    <row r="489" spans="1:14" s="2" customFormat="1" ht="24.95" customHeight="1">
      <c r="A489" s="76">
        <v>3</v>
      </c>
      <c r="B489" s="82" t="s">
        <v>320</v>
      </c>
      <c r="C489" s="76" t="s">
        <v>129</v>
      </c>
      <c r="D489" s="467" t="s">
        <v>960</v>
      </c>
      <c r="E489" s="26" t="s">
        <v>961</v>
      </c>
      <c r="F489" s="46" t="s">
        <v>20</v>
      </c>
      <c r="G489" s="48">
        <v>29234</v>
      </c>
      <c r="H489" s="73" t="s">
        <v>926</v>
      </c>
      <c r="I489" s="63" t="s">
        <v>22</v>
      </c>
      <c r="J489" s="26" t="s">
        <v>958</v>
      </c>
      <c r="K489" s="64">
        <v>45243</v>
      </c>
      <c r="L489" s="64">
        <v>45490</v>
      </c>
      <c r="M489" s="214">
        <v>45293</v>
      </c>
      <c r="N489" s="65">
        <v>47118</v>
      </c>
    </row>
    <row r="490" spans="1:14" s="2" customFormat="1" ht="24.95" customHeight="1">
      <c r="A490" s="76"/>
      <c r="B490" s="82" t="s">
        <v>320</v>
      </c>
      <c r="C490" s="76" t="s">
        <v>129</v>
      </c>
      <c r="D490" s="24" t="s">
        <v>962</v>
      </c>
      <c r="E490" s="49" t="s">
        <v>963</v>
      </c>
      <c r="F490" s="46" t="s">
        <v>20</v>
      </c>
      <c r="G490" s="48">
        <v>29621</v>
      </c>
      <c r="H490" s="73" t="s">
        <v>926</v>
      </c>
      <c r="I490" s="63" t="s">
        <v>22</v>
      </c>
      <c r="J490" s="26" t="s">
        <v>958</v>
      </c>
      <c r="K490" s="64">
        <v>45243</v>
      </c>
      <c r="L490" s="64">
        <v>45117</v>
      </c>
      <c r="M490" s="214">
        <v>45108</v>
      </c>
      <c r="N490" s="65">
        <v>46934</v>
      </c>
    </row>
    <row r="491" spans="1:14" s="2" customFormat="1" ht="24.95" customHeight="1">
      <c r="A491" s="76"/>
      <c r="B491" s="82" t="s">
        <v>333</v>
      </c>
      <c r="C491" s="76" t="s">
        <v>67</v>
      </c>
      <c r="D491" s="24" t="s">
        <v>964</v>
      </c>
      <c r="E491" s="107" t="s">
        <v>965</v>
      </c>
      <c r="F491" s="46" t="s">
        <v>20</v>
      </c>
      <c r="G491" s="48">
        <v>28336</v>
      </c>
      <c r="H491" s="73" t="s">
        <v>926</v>
      </c>
      <c r="I491" s="63" t="s">
        <v>22</v>
      </c>
      <c r="J491" s="26" t="s">
        <v>70</v>
      </c>
      <c r="K491" s="64">
        <v>39995</v>
      </c>
      <c r="L491" s="64">
        <v>42795</v>
      </c>
      <c r="M491" s="62">
        <v>44933</v>
      </c>
      <c r="N491" s="62" t="s">
        <v>927</v>
      </c>
    </row>
    <row r="492" spans="1:14" s="2" customFormat="1" ht="24.95" customHeight="1">
      <c r="A492" s="76"/>
      <c r="B492" s="82" t="s">
        <v>621</v>
      </c>
      <c r="C492" s="76" t="s">
        <v>279</v>
      </c>
      <c r="D492" s="24" t="s">
        <v>966</v>
      </c>
      <c r="E492" s="46" t="s">
        <v>967</v>
      </c>
      <c r="F492" s="46" t="s">
        <v>20</v>
      </c>
      <c r="G492" s="48">
        <v>31384</v>
      </c>
      <c r="H492" s="73" t="s">
        <v>926</v>
      </c>
      <c r="I492" s="63" t="s">
        <v>22</v>
      </c>
      <c r="J492" s="26" t="s">
        <v>70</v>
      </c>
      <c r="K492" s="64">
        <v>43724</v>
      </c>
      <c r="L492" s="64">
        <v>45392</v>
      </c>
      <c r="M492" s="62">
        <v>45839</v>
      </c>
      <c r="N492" s="62">
        <v>47664</v>
      </c>
    </row>
    <row r="493" spans="1:14" s="2" customFormat="1" ht="24.95" customHeight="1">
      <c r="A493" s="76">
        <v>4</v>
      </c>
      <c r="B493" s="82" t="s">
        <v>627</v>
      </c>
      <c r="C493" s="76" t="s">
        <v>287</v>
      </c>
      <c r="D493" s="24" t="s">
        <v>1000</v>
      </c>
      <c r="E493" s="263" t="s">
        <v>1001</v>
      </c>
      <c r="F493" s="46" t="s">
        <v>20</v>
      </c>
      <c r="G493" s="48">
        <v>32760</v>
      </c>
      <c r="H493" s="73" t="s">
        <v>926</v>
      </c>
      <c r="I493" s="63" t="s">
        <v>22</v>
      </c>
      <c r="J493" s="26" t="s">
        <v>70</v>
      </c>
      <c r="K493" s="64">
        <v>43678</v>
      </c>
      <c r="L493" s="64">
        <v>43678</v>
      </c>
      <c r="M493" s="214">
        <v>45474</v>
      </c>
      <c r="N493" s="65">
        <v>47299</v>
      </c>
    </row>
    <row r="494" spans="1:14" ht="24.95" customHeight="1">
      <c r="B494" s="316" t="s">
        <v>1789</v>
      </c>
      <c r="C494" s="77"/>
      <c r="D494" s="213"/>
      <c r="E494" s="35"/>
      <c r="F494" s="35"/>
      <c r="G494" s="47"/>
      <c r="H494" s="215"/>
      <c r="I494" s="35"/>
      <c r="J494" s="35"/>
      <c r="K494" s="100"/>
      <c r="L494" s="100"/>
      <c r="M494" s="62"/>
      <c r="N494" s="62"/>
    </row>
    <row r="495" spans="1:14" ht="24.95" customHeight="1">
      <c r="B495" s="103" t="s">
        <v>968</v>
      </c>
      <c r="C495" s="76"/>
      <c r="D495" s="35"/>
      <c r="E495" s="95"/>
      <c r="F495" s="95"/>
      <c r="G495" s="135"/>
      <c r="H495" s="95"/>
      <c r="I495" s="35"/>
      <c r="J495" s="35"/>
      <c r="K495" s="64"/>
      <c r="L495" s="64"/>
      <c r="M495" s="214"/>
      <c r="N495" s="65"/>
    </row>
    <row r="496" spans="1:14" s="2" customFormat="1" ht="24.95" customHeight="1">
      <c r="A496" s="76"/>
      <c r="B496" s="82" t="s">
        <v>291</v>
      </c>
      <c r="C496" s="76" t="s">
        <v>59</v>
      </c>
      <c r="D496" s="24" t="s">
        <v>969</v>
      </c>
      <c r="E496" s="46" t="s">
        <v>970</v>
      </c>
      <c r="F496" s="46" t="s">
        <v>20</v>
      </c>
      <c r="G496" s="48">
        <v>26762</v>
      </c>
      <c r="H496" s="73" t="s">
        <v>926</v>
      </c>
      <c r="I496" s="63" t="s">
        <v>22</v>
      </c>
      <c r="J496" s="26" t="s">
        <v>62</v>
      </c>
      <c r="K496" s="64">
        <v>40508</v>
      </c>
      <c r="L496" s="64">
        <v>44743</v>
      </c>
      <c r="M496" s="62">
        <v>45108</v>
      </c>
      <c r="N496" s="62" t="s">
        <v>927</v>
      </c>
    </row>
    <row r="497" spans="1:14" s="2" customFormat="1" ht="24.95" customHeight="1">
      <c r="A497" s="76">
        <v>7</v>
      </c>
      <c r="B497" s="82" t="s">
        <v>320</v>
      </c>
      <c r="C497" s="76" t="s">
        <v>129</v>
      </c>
      <c r="D497" s="84" t="s">
        <v>971</v>
      </c>
      <c r="E497" s="107" t="s">
        <v>972</v>
      </c>
      <c r="F497" s="46" t="s">
        <v>29</v>
      </c>
      <c r="G497" s="48">
        <v>26418</v>
      </c>
      <c r="H497" s="73" t="s">
        <v>926</v>
      </c>
      <c r="I497" s="63" t="s">
        <v>22</v>
      </c>
      <c r="J497" s="26" t="s">
        <v>62</v>
      </c>
      <c r="K497" s="64">
        <v>39566</v>
      </c>
      <c r="L497" s="64">
        <v>44075</v>
      </c>
      <c r="M497" s="62">
        <v>45108</v>
      </c>
      <c r="N497" s="62" t="s">
        <v>927</v>
      </c>
    </row>
    <row r="498" spans="1:14" s="2" customFormat="1" ht="24.95" customHeight="1">
      <c r="A498" s="76">
        <v>8</v>
      </c>
      <c r="B498" s="82" t="s">
        <v>320</v>
      </c>
      <c r="C498" s="76" t="s">
        <v>695</v>
      </c>
      <c r="D498" s="468" t="s">
        <v>973</v>
      </c>
      <c r="E498" s="76" t="s">
        <v>974</v>
      </c>
      <c r="F498" s="46" t="s">
        <v>20</v>
      </c>
      <c r="G498" s="48">
        <v>29792</v>
      </c>
      <c r="H498" s="73" t="s">
        <v>926</v>
      </c>
      <c r="I498" s="63" t="s">
        <v>22</v>
      </c>
      <c r="J498" s="26" t="s">
        <v>62</v>
      </c>
      <c r="K498" s="159">
        <v>45411</v>
      </c>
      <c r="L498" s="159">
        <v>45411</v>
      </c>
      <c r="M498" s="159">
        <v>45420</v>
      </c>
      <c r="N498" s="159">
        <v>47245</v>
      </c>
    </row>
    <row r="499" spans="1:14" s="2" customFormat="1" ht="24.95" customHeight="1">
      <c r="A499" s="76"/>
      <c r="B499" s="82" t="s">
        <v>524</v>
      </c>
      <c r="C499" s="76" t="s">
        <v>123</v>
      </c>
      <c r="D499" s="24" t="s">
        <v>975</v>
      </c>
      <c r="E499" s="107" t="s">
        <v>976</v>
      </c>
      <c r="F499" s="46" t="s">
        <v>20</v>
      </c>
      <c r="G499" s="48">
        <v>26943</v>
      </c>
      <c r="H499" s="73" t="s">
        <v>926</v>
      </c>
      <c r="I499" s="63" t="s">
        <v>22</v>
      </c>
      <c r="J499" s="26" t="s">
        <v>62</v>
      </c>
      <c r="K499" s="64">
        <v>35690</v>
      </c>
      <c r="L499" s="64">
        <v>40817</v>
      </c>
      <c r="M499" s="469">
        <v>47300</v>
      </c>
      <c r="N499" s="469">
        <v>47299</v>
      </c>
    </row>
    <row r="500" spans="1:14" ht="24.95" customHeight="1">
      <c r="B500" s="82" t="s">
        <v>1789</v>
      </c>
      <c r="C500" s="76"/>
      <c r="D500" s="212"/>
      <c r="E500" s="46"/>
      <c r="F500" s="218"/>
      <c r="G500" s="105"/>
      <c r="H500" s="73"/>
      <c r="I500" s="26"/>
      <c r="J500" s="218"/>
      <c r="K500" s="64"/>
      <c r="L500" s="221"/>
      <c r="M500" s="65"/>
      <c r="N500" s="55"/>
    </row>
    <row r="501" spans="1:14" ht="24.95" customHeight="1">
      <c r="B501" s="103" t="s">
        <v>977</v>
      </c>
      <c r="C501" s="211"/>
      <c r="D501" s="80" t="s">
        <v>52</v>
      </c>
      <c r="E501" s="46"/>
      <c r="F501" s="218"/>
      <c r="G501" s="105"/>
      <c r="H501" s="73"/>
      <c r="I501" s="26"/>
      <c r="J501" s="218"/>
      <c r="K501" s="64"/>
      <c r="L501" s="221"/>
      <c r="M501" s="65"/>
      <c r="N501" s="55"/>
    </row>
    <row r="502" spans="1:14" ht="24.95" customHeight="1">
      <c r="B502" s="82" t="s">
        <v>291</v>
      </c>
      <c r="C502" s="76" t="s">
        <v>59</v>
      </c>
      <c r="D502" s="24" t="s">
        <v>978</v>
      </c>
      <c r="E502" s="107" t="s">
        <v>979</v>
      </c>
      <c r="F502" s="46" t="s">
        <v>20</v>
      </c>
      <c r="G502" s="48">
        <v>22635</v>
      </c>
      <c r="H502" s="73" t="s">
        <v>926</v>
      </c>
      <c r="I502" s="63" t="s">
        <v>22</v>
      </c>
      <c r="J502" s="26" t="s">
        <v>62</v>
      </c>
      <c r="K502" s="64">
        <v>39631</v>
      </c>
      <c r="L502" s="64">
        <v>43525</v>
      </c>
      <c r="M502" s="62">
        <v>45108</v>
      </c>
      <c r="N502" s="62">
        <v>46934</v>
      </c>
    </row>
    <row r="503" spans="1:14" s="2" customFormat="1" ht="24.95" customHeight="1">
      <c r="A503" s="76">
        <v>1</v>
      </c>
      <c r="B503" s="82" t="s">
        <v>291</v>
      </c>
      <c r="C503" s="76" t="s">
        <v>59</v>
      </c>
      <c r="D503" s="84" t="s">
        <v>980</v>
      </c>
      <c r="E503" s="46" t="s">
        <v>981</v>
      </c>
      <c r="F503" s="46" t="s">
        <v>20</v>
      </c>
      <c r="G503" s="48">
        <v>29697</v>
      </c>
      <c r="H503" s="73" t="s">
        <v>926</v>
      </c>
      <c r="I503" s="63" t="s">
        <v>22</v>
      </c>
      <c r="J503" s="26" t="s">
        <v>62</v>
      </c>
      <c r="K503" s="100">
        <v>39631</v>
      </c>
      <c r="L503" s="100">
        <v>45810</v>
      </c>
      <c r="M503" s="62">
        <v>45108</v>
      </c>
      <c r="N503" s="62">
        <v>46934</v>
      </c>
    </row>
    <row r="504" spans="1:14" s="2" customFormat="1" ht="24.95" customHeight="1">
      <c r="A504" s="76">
        <v>2</v>
      </c>
      <c r="B504" s="82" t="s">
        <v>320</v>
      </c>
      <c r="C504" s="76" t="s">
        <v>129</v>
      </c>
      <c r="D504" s="24" t="s">
        <v>984</v>
      </c>
      <c r="E504" s="26" t="s">
        <v>985</v>
      </c>
      <c r="F504" s="46" t="s">
        <v>20</v>
      </c>
      <c r="G504" s="48">
        <v>27437</v>
      </c>
      <c r="H504" s="73" t="s">
        <v>926</v>
      </c>
      <c r="I504" s="63" t="s">
        <v>22</v>
      </c>
      <c r="J504" s="26" t="s">
        <v>62</v>
      </c>
      <c r="K504" s="64">
        <v>42705</v>
      </c>
      <c r="L504" s="64">
        <v>45810</v>
      </c>
      <c r="M504" s="62">
        <v>45108</v>
      </c>
      <c r="N504" s="62">
        <v>46934</v>
      </c>
    </row>
    <row r="505" spans="1:14" s="2" customFormat="1" ht="24.95" customHeight="1">
      <c r="A505" s="76">
        <v>3</v>
      </c>
      <c r="B505" s="82" t="s">
        <v>524</v>
      </c>
      <c r="C505" s="76" t="s">
        <v>123</v>
      </c>
      <c r="D505" s="24" t="s">
        <v>982</v>
      </c>
      <c r="E505" s="107" t="s">
        <v>983</v>
      </c>
      <c r="F505" s="46" t="s">
        <v>20</v>
      </c>
      <c r="G505" s="48">
        <v>26313</v>
      </c>
      <c r="H505" s="73" t="s">
        <v>926</v>
      </c>
      <c r="I505" s="63" t="s">
        <v>22</v>
      </c>
      <c r="J505" s="26" t="s">
        <v>62</v>
      </c>
      <c r="K505" s="64">
        <v>38853</v>
      </c>
      <c r="L505" s="64">
        <v>42156</v>
      </c>
      <c r="M505" s="62">
        <v>45108</v>
      </c>
      <c r="N505" s="62">
        <v>46934</v>
      </c>
    </row>
    <row r="506" spans="1:14" s="2" customFormat="1" ht="24.95" customHeight="1">
      <c r="A506" s="76"/>
      <c r="B506" s="82" t="s">
        <v>524</v>
      </c>
      <c r="C506" s="76" t="s">
        <v>123</v>
      </c>
      <c r="D506" s="24" t="s">
        <v>986</v>
      </c>
      <c r="E506" s="26" t="s">
        <v>987</v>
      </c>
      <c r="F506" s="46" t="s">
        <v>20</v>
      </c>
      <c r="G506" s="48">
        <v>29271</v>
      </c>
      <c r="H506" s="73" t="s">
        <v>926</v>
      </c>
      <c r="I506" s="63" t="s">
        <v>22</v>
      </c>
      <c r="J506" s="26" t="s">
        <v>62</v>
      </c>
      <c r="K506" s="64">
        <v>41067</v>
      </c>
      <c r="L506" s="64">
        <v>41067</v>
      </c>
      <c r="M506" s="62">
        <v>45108</v>
      </c>
      <c r="N506" s="62">
        <v>46934</v>
      </c>
    </row>
    <row r="507" spans="1:14" ht="24.95" customHeight="1">
      <c r="B507" s="82" t="s">
        <v>524</v>
      </c>
      <c r="C507" s="76" t="s">
        <v>123</v>
      </c>
      <c r="D507" s="24" t="s">
        <v>988</v>
      </c>
      <c r="E507" s="26" t="s">
        <v>989</v>
      </c>
      <c r="F507" s="46" t="s">
        <v>20</v>
      </c>
      <c r="G507" s="48">
        <v>25460</v>
      </c>
      <c r="H507" s="73" t="s">
        <v>926</v>
      </c>
      <c r="I507" s="63" t="s">
        <v>22</v>
      </c>
      <c r="J507" s="26" t="s">
        <v>62</v>
      </c>
      <c r="K507" s="64">
        <v>39322</v>
      </c>
      <c r="L507" s="64">
        <v>42709</v>
      </c>
      <c r="M507" s="62">
        <v>45108</v>
      </c>
      <c r="N507" s="62">
        <v>46934</v>
      </c>
    </row>
    <row r="508" spans="1:14" s="2" customFormat="1" ht="24.95" customHeight="1">
      <c r="A508" s="76"/>
      <c r="B508" s="76" t="s">
        <v>360</v>
      </c>
      <c r="C508" s="76" t="s">
        <v>67</v>
      </c>
      <c r="D508" s="24" t="s">
        <v>990</v>
      </c>
      <c r="E508" s="46" t="s">
        <v>991</v>
      </c>
      <c r="F508" s="46" t="s">
        <v>20</v>
      </c>
      <c r="G508" s="48">
        <v>27021</v>
      </c>
      <c r="H508" s="73" t="s">
        <v>926</v>
      </c>
      <c r="I508" s="63" t="s">
        <v>22</v>
      </c>
      <c r="J508" s="26" t="s">
        <v>70</v>
      </c>
      <c r="K508" s="64">
        <v>43838</v>
      </c>
      <c r="L508" s="64">
        <v>45839</v>
      </c>
      <c r="M508" s="62">
        <v>44044</v>
      </c>
      <c r="N508" s="62">
        <v>46203</v>
      </c>
    </row>
    <row r="509" spans="1:14" s="2" customFormat="1" ht="24.95" customHeight="1">
      <c r="A509" s="76"/>
      <c r="B509" s="82" t="s">
        <v>333</v>
      </c>
      <c r="C509" s="76" t="s">
        <v>67</v>
      </c>
      <c r="D509" s="24" t="s">
        <v>992</v>
      </c>
      <c r="E509" s="107" t="s">
        <v>993</v>
      </c>
      <c r="F509" s="46" t="s">
        <v>20</v>
      </c>
      <c r="G509" s="48">
        <v>25083</v>
      </c>
      <c r="H509" s="63" t="s">
        <v>926</v>
      </c>
      <c r="I509" s="63" t="s">
        <v>22</v>
      </c>
      <c r="J509" s="26" t="s">
        <v>70</v>
      </c>
      <c r="K509" s="64">
        <v>34335</v>
      </c>
      <c r="L509" s="64">
        <v>45392</v>
      </c>
      <c r="M509" s="62">
        <v>45108</v>
      </c>
      <c r="N509" s="62">
        <v>46934</v>
      </c>
    </row>
    <row r="510" spans="1:14" s="2" customFormat="1" ht="24.95" customHeight="1">
      <c r="A510" s="76"/>
      <c r="B510" s="82" t="s">
        <v>627</v>
      </c>
      <c r="C510" s="76" t="s">
        <v>287</v>
      </c>
      <c r="D510" s="24" t="s">
        <v>994</v>
      </c>
      <c r="E510" s="262" t="s">
        <v>995</v>
      </c>
      <c r="F510" s="46" t="s">
        <v>20</v>
      </c>
      <c r="G510" s="48">
        <v>33038</v>
      </c>
      <c r="H510" s="73" t="s">
        <v>926</v>
      </c>
      <c r="I510" s="63" t="s">
        <v>22</v>
      </c>
      <c r="J510" s="26" t="s">
        <v>70</v>
      </c>
      <c r="K510" s="64">
        <v>43650</v>
      </c>
      <c r="L510" s="64">
        <v>43650</v>
      </c>
      <c r="M510" s="214">
        <v>45474</v>
      </c>
      <c r="N510" s="65">
        <f>$N$514</f>
        <v>48029</v>
      </c>
    </row>
    <row r="511" spans="1:14" ht="24.95" customHeight="1">
      <c r="B511" s="82" t="s">
        <v>1789</v>
      </c>
      <c r="C511" s="76"/>
      <c r="D511" s="212"/>
      <c r="E511" s="46"/>
      <c r="F511" s="218"/>
      <c r="G511" s="105"/>
      <c r="H511" s="73"/>
      <c r="I511" s="26"/>
      <c r="J511" s="218"/>
      <c r="K511" s="64"/>
      <c r="L511" s="64"/>
      <c r="M511" s="214"/>
      <c r="N511" s="62"/>
    </row>
    <row r="512" spans="1:14" ht="24.95" customHeight="1">
      <c r="A512" s="76">
        <v>7</v>
      </c>
      <c r="B512" s="216" t="s">
        <v>1791</v>
      </c>
      <c r="C512" s="210"/>
      <c r="D512" s="80"/>
      <c r="E512" s="26"/>
      <c r="F512" s="46"/>
      <c r="G512" s="48"/>
      <c r="H512" s="73"/>
      <c r="I512" s="63"/>
      <c r="J512" s="26"/>
      <c r="K512" s="64"/>
      <c r="L512" s="64"/>
      <c r="M512" s="214"/>
      <c r="N512" s="65"/>
    </row>
    <row r="513" spans="1:14" ht="24.95" customHeight="1" thickBot="1">
      <c r="A513" s="76">
        <v>8</v>
      </c>
      <c r="B513" s="82" t="s">
        <v>1792</v>
      </c>
      <c r="C513" s="76" t="s">
        <v>109</v>
      </c>
      <c r="D513" s="80"/>
      <c r="E513" s="26"/>
      <c r="F513" s="46"/>
      <c r="G513" s="48"/>
      <c r="H513" s="73"/>
      <c r="I513" s="63"/>
      <c r="J513" s="26"/>
      <c r="K513" s="64"/>
      <c r="L513" s="64"/>
      <c r="M513" s="214"/>
      <c r="N513" s="65"/>
    </row>
    <row r="514" spans="1:14" ht="24.95" customHeight="1" thickBot="1">
      <c r="A514" s="76">
        <v>9</v>
      </c>
      <c r="B514" s="82" t="s">
        <v>1793</v>
      </c>
      <c r="C514" s="76" t="s">
        <v>109</v>
      </c>
      <c r="D514" s="470" t="s">
        <v>1979</v>
      </c>
      <c r="E514" s="26" t="s">
        <v>1982</v>
      </c>
      <c r="F514" s="46" t="s">
        <v>20</v>
      </c>
      <c r="G514" s="48">
        <v>31890</v>
      </c>
      <c r="H514" s="73" t="s">
        <v>1820</v>
      </c>
      <c r="I514" s="63" t="s">
        <v>22</v>
      </c>
      <c r="J514" s="26" t="s">
        <v>62</v>
      </c>
      <c r="K514" s="64">
        <v>46204</v>
      </c>
      <c r="L514" s="64">
        <v>46204</v>
      </c>
      <c r="M514" s="214">
        <f>$L$514</f>
        <v>46204</v>
      </c>
      <c r="N514" s="65">
        <v>48029</v>
      </c>
    </row>
    <row r="515" spans="1:14" ht="24.95" customHeight="1">
      <c r="B515" s="82" t="s">
        <v>1794</v>
      </c>
      <c r="C515" s="76" t="s">
        <v>59</v>
      </c>
      <c r="D515" s="80" t="s">
        <v>1983</v>
      </c>
      <c r="E515" s="26" t="s">
        <v>1985</v>
      </c>
      <c r="F515" s="46" t="s">
        <v>1729</v>
      </c>
      <c r="G515" s="48">
        <v>35180</v>
      </c>
      <c r="H515" s="73" t="s">
        <v>1820</v>
      </c>
      <c r="I515" s="63"/>
      <c r="J515" s="26"/>
      <c r="K515" s="64">
        <v>46204</v>
      </c>
      <c r="L515" s="64">
        <v>46204</v>
      </c>
      <c r="M515" s="214">
        <f>$L$514</f>
        <v>46204</v>
      </c>
      <c r="N515" s="65">
        <f>$N$514</f>
        <v>48029</v>
      </c>
    </row>
    <row r="516" spans="1:14" ht="24.95" customHeight="1">
      <c r="B516" s="82" t="s">
        <v>2038</v>
      </c>
      <c r="C516" s="76" t="s">
        <v>109</v>
      </c>
      <c r="D516" s="80" t="s">
        <v>1845</v>
      </c>
      <c r="E516" s="26" t="s">
        <v>1852</v>
      </c>
      <c r="F516" s="46" t="s">
        <v>29</v>
      </c>
      <c r="G516" s="48">
        <v>30450</v>
      </c>
      <c r="H516" s="73" t="s">
        <v>1820</v>
      </c>
      <c r="I516" s="63" t="s">
        <v>22</v>
      </c>
      <c r="J516" s="26" t="s">
        <v>62</v>
      </c>
      <c r="K516" s="64">
        <v>46204</v>
      </c>
      <c r="L516" s="64">
        <f>$K$516</f>
        <v>46204</v>
      </c>
      <c r="M516" s="214">
        <f>$K$516</f>
        <v>46204</v>
      </c>
      <c r="N516" s="65">
        <v>48029</v>
      </c>
    </row>
    <row r="517" spans="1:14" ht="24.95" customHeight="1">
      <c r="A517" s="76">
        <v>2</v>
      </c>
      <c r="B517" s="82" t="s">
        <v>1844</v>
      </c>
      <c r="C517" s="76" t="s">
        <v>129</v>
      </c>
      <c r="D517" s="80" t="s">
        <v>1846</v>
      </c>
      <c r="E517" s="26" t="s">
        <v>1853</v>
      </c>
      <c r="F517" s="46" t="s">
        <v>29</v>
      </c>
      <c r="G517" s="48">
        <v>32757</v>
      </c>
      <c r="H517" s="73" t="s">
        <v>1820</v>
      </c>
      <c r="I517" s="63" t="s">
        <v>22</v>
      </c>
      <c r="J517" s="26" t="s">
        <v>62</v>
      </c>
      <c r="K517" s="64">
        <f>$K$516</f>
        <v>46204</v>
      </c>
      <c r="L517" s="64">
        <f>$K$516</f>
        <v>46204</v>
      </c>
      <c r="M517" s="214">
        <f>$K$516</f>
        <v>46204</v>
      </c>
      <c r="N517" s="65">
        <f>$N$516</f>
        <v>48029</v>
      </c>
    </row>
    <row r="518" spans="1:14" ht="24.95" customHeight="1">
      <c r="A518" s="76">
        <v>3</v>
      </c>
      <c r="B518" s="82" t="s">
        <v>1834</v>
      </c>
      <c r="C518" s="76" t="s">
        <v>123</v>
      </c>
      <c r="D518" s="80" t="s">
        <v>1986</v>
      </c>
      <c r="E518" s="26" t="s">
        <v>1987</v>
      </c>
      <c r="F518" s="46" t="s">
        <v>1729</v>
      </c>
      <c r="G518" s="48">
        <v>33581</v>
      </c>
      <c r="H518" s="73" t="s">
        <v>1820</v>
      </c>
      <c r="I518" s="63" t="s">
        <v>22</v>
      </c>
      <c r="J518" s="26"/>
      <c r="K518" s="64">
        <v>46204</v>
      </c>
      <c r="L518" s="64">
        <v>46204</v>
      </c>
      <c r="M518" s="214">
        <v>46204</v>
      </c>
      <c r="N518" s="65">
        <v>48029</v>
      </c>
    </row>
    <row r="519" spans="1:14" ht="24.95" customHeight="1">
      <c r="B519" s="82" t="s">
        <v>1834</v>
      </c>
      <c r="C519" s="76" t="s">
        <v>123</v>
      </c>
      <c r="D519" s="80" t="s">
        <v>1988</v>
      </c>
      <c r="E519" s="26" t="s">
        <v>1984</v>
      </c>
      <c r="F519" s="46" t="s">
        <v>29</v>
      </c>
      <c r="G519" s="48">
        <v>35828</v>
      </c>
      <c r="H519" s="73" t="s">
        <v>1820</v>
      </c>
      <c r="I519" s="63" t="s">
        <v>22</v>
      </c>
      <c r="J519" s="26"/>
      <c r="K519" s="64">
        <v>46204</v>
      </c>
      <c r="L519" s="64">
        <v>46204</v>
      </c>
      <c r="M519" s="214">
        <v>46204</v>
      </c>
      <c r="N519" s="65">
        <v>48029</v>
      </c>
    </row>
    <row r="520" spans="1:14" ht="24.95" customHeight="1">
      <c r="A520" s="76">
        <v>4</v>
      </c>
      <c r="B520" s="219" t="s">
        <v>1795</v>
      </c>
      <c r="C520" s="189" t="s">
        <v>123</v>
      </c>
      <c r="D520" s="80" t="s">
        <v>1989</v>
      </c>
      <c r="E520" s="26" t="s">
        <v>1990</v>
      </c>
      <c r="F520" s="46" t="s">
        <v>1729</v>
      </c>
      <c r="G520" s="48">
        <v>41267</v>
      </c>
      <c r="H520" s="73" t="s">
        <v>1820</v>
      </c>
      <c r="I520" s="63" t="s">
        <v>22</v>
      </c>
      <c r="J520" s="26"/>
      <c r="K520" s="64">
        <f>$K$519</f>
        <v>46204</v>
      </c>
      <c r="L520" s="64">
        <f>$K$519</f>
        <v>46204</v>
      </c>
      <c r="M520" s="214">
        <f>$K$519</f>
        <v>46204</v>
      </c>
      <c r="N520" s="65">
        <f>$N$519</f>
        <v>48029</v>
      </c>
    </row>
    <row r="521" spans="1:14" ht="24.95" customHeight="1">
      <c r="B521" s="82" t="s">
        <v>1796</v>
      </c>
      <c r="C521" s="76" t="s">
        <v>67</v>
      </c>
      <c r="D521" s="80" t="s">
        <v>1991</v>
      </c>
      <c r="E521" s="26" t="s">
        <v>1992</v>
      </c>
      <c r="F521" s="46" t="s">
        <v>29</v>
      </c>
      <c r="G521" s="48">
        <v>34212</v>
      </c>
      <c r="H521" s="73" t="s">
        <v>1820</v>
      </c>
      <c r="I521" s="63" t="s">
        <v>22</v>
      </c>
      <c r="J521" s="26"/>
      <c r="K521" s="64">
        <v>46204</v>
      </c>
      <c r="L521" s="64">
        <v>46204</v>
      </c>
      <c r="M521" s="214">
        <v>46204</v>
      </c>
      <c r="N521" s="65">
        <v>48029</v>
      </c>
    </row>
    <row r="522" spans="1:14" ht="24.95" customHeight="1">
      <c r="B522" s="82" t="s">
        <v>1796</v>
      </c>
      <c r="C522" s="76" t="s">
        <v>67</v>
      </c>
      <c r="D522" s="80" t="s">
        <v>1993</v>
      </c>
      <c r="E522" s="26" t="s">
        <v>1994</v>
      </c>
      <c r="F522" s="46" t="s">
        <v>29</v>
      </c>
      <c r="G522" s="48">
        <v>34154</v>
      </c>
      <c r="H522" s="73" t="s">
        <v>1820</v>
      </c>
      <c r="I522" s="63" t="s">
        <v>22</v>
      </c>
      <c r="J522" s="26"/>
      <c r="K522" s="64">
        <v>46204</v>
      </c>
      <c r="L522" s="64">
        <f>$K$522</f>
        <v>46204</v>
      </c>
      <c r="M522" s="214">
        <f>$M$520</f>
        <v>46204</v>
      </c>
      <c r="N522" s="65">
        <f>$N$520</f>
        <v>48029</v>
      </c>
    </row>
    <row r="523" spans="1:14" ht="24.95" customHeight="1">
      <c r="A523" s="76">
        <v>2</v>
      </c>
      <c r="B523" s="82" t="s">
        <v>1797</v>
      </c>
      <c r="C523" s="76" t="s">
        <v>67</v>
      </c>
      <c r="D523" s="80" t="s">
        <v>1995</v>
      </c>
      <c r="E523" s="26" t="s">
        <v>1996</v>
      </c>
      <c r="F523" s="46" t="s">
        <v>1729</v>
      </c>
      <c r="G523" s="48">
        <v>36530</v>
      </c>
      <c r="H523" s="73" t="s">
        <v>1820</v>
      </c>
      <c r="I523" s="63" t="s">
        <v>22</v>
      </c>
      <c r="J523" s="26"/>
      <c r="K523" s="64">
        <f>$K$522</f>
        <v>46204</v>
      </c>
      <c r="L523" s="64">
        <f>$K$522</f>
        <v>46204</v>
      </c>
      <c r="M523" s="214">
        <f>$K$522</f>
        <v>46204</v>
      </c>
      <c r="N523" s="65">
        <f>$N$522</f>
        <v>48029</v>
      </c>
    </row>
    <row r="524" spans="1:14" ht="24.95" customHeight="1">
      <c r="B524" s="82" t="s">
        <v>1797</v>
      </c>
      <c r="C524" s="76" t="s">
        <v>67</v>
      </c>
      <c r="D524" s="80" t="s">
        <v>1997</v>
      </c>
      <c r="E524" s="26" t="s">
        <v>1998</v>
      </c>
      <c r="F524" s="46" t="s">
        <v>1729</v>
      </c>
      <c r="G524" s="48">
        <v>35343</v>
      </c>
      <c r="H524" s="73" t="s">
        <v>1820</v>
      </c>
      <c r="I524" s="63" t="s">
        <v>22</v>
      </c>
      <c r="J524" s="26"/>
      <c r="K524" s="64">
        <v>46204</v>
      </c>
      <c r="L524" s="64">
        <v>46204</v>
      </c>
      <c r="M524" s="214">
        <v>46204</v>
      </c>
      <c r="N524" s="65">
        <v>48029</v>
      </c>
    </row>
    <row r="525" spans="1:14" ht="24.95" customHeight="1">
      <c r="A525" s="76">
        <v>3</v>
      </c>
      <c r="B525" s="82" t="s">
        <v>1798</v>
      </c>
      <c r="C525" s="76" t="s">
        <v>67</v>
      </c>
      <c r="D525" s="80" t="s">
        <v>1999</v>
      </c>
      <c r="E525" s="26" t="s">
        <v>2000</v>
      </c>
      <c r="F525" s="46" t="s">
        <v>29</v>
      </c>
      <c r="G525" s="48">
        <v>33919</v>
      </c>
      <c r="H525" s="73" t="s">
        <v>1820</v>
      </c>
      <c r="I525" s="63" t="s">
        <v>22</v>
      </c>
      <c r="J525" s="26"/>
      <c r="K525" s="64">
        <f t="shared" ref="K525:K529" si="1">$K$524</f>
        <v>46204</v>
      </c>
      <c r="L525" s="64">
        <f t="shared" ref="L525:L529" si="2">$L$524</f>
        <v>46204</v>
      </c>
      <c r="M525" s="214">
        <f t="shared" ref="M525:M529" si="3">$M$524</f>
        <v>46204</v>
      </c>
      <c r="N525" s="65">
        <f t="shared" ref="N525:N529" si="4">$N$524</f>
        <v>48029</v>
      </c>
    </row>
    <row r="526" spans="1:14" ht="24.95" customHeight="1">
      <c r="A526" s="76">
        <v>4</v>
      </c>
      <c r="B526" s="82" t="s">
        <v>1798</v>
      </c>
      <c r="C526" s="76" t="s">
        <v>67</v>
      </c>
      <c r="D526" s="80" t="s">
        <v>2001</v>
      </c>
      <c r="E526" s="26" t="s">
        <v>2002</v>
      </c>
      <c r="F526" s="46" t="s">
        <v>1729</v>
      </c>
      <c r="G526" s="48">
        <v>34681</v>
      </c>
      <c r="H526" s="73" t="s">
        <v>1820</v>
      </c>
      <c r="I526" s="63" t="s">
        <v>22</v>
      </c>
      <c r="J526" s="26"/>
      <c r="K526" s="64">
        <f t="shared" si="1"/>
        <v>46204</v>
      </c>
      <c r="L526" s="64">
        <f t="shared" si="2"/>
        <v>46204</v>
      </c>
      <c r="M526" s="214">
        <f t="shared" si="3"/>
        <v>46204</v>
      </c>
      <c r="N526" s="65">
        <f t="shared" si="4"/>
        <v>48029</v>
      </c>
    </row>
    <row r="527" spans="1:14" ht="24.95" customHeight="1">
      <c r="B527" s="82" t="s">
        <v>1798</v>
      </c>
      <c r="C527" s="76" t="s">
        <v>67</v>
      </c>
      <c r="D527" s="80" t="s">
        <v>2003</v>
      </c>
      <c r="E527" s="26" t="s">
        <v>2004</v>
      </c>
      <c r="F527" s="46" t="s">
        <v>29</v>
      </c>
      <c r="G527" s="48">
        <v>35776</v>
      </c>
      <c r="H527" s="73" t="s">
        <v>1820</v>
      </c>
      <c r="I527" s="63" t="s">
        <v>22</v>
      </c>
      <c r="J527" s="26"/>
      <c r="K527" s="64">
        <f t="shared" si="1"/>
        <v>46204</v>
      </c>
      <c r="L527" s="64">
        <f t="shared" si="2"/>
        <v>46204</v>
      </c>
      <c r="M527" s="214">
        <f t="shared" si="3"/>
        <v>46204</v>
      </c>
      <c r="N527" s="65">
        <f t="shared" si="4"/>
        <v>48029</v>
      </c>
    </row>
    <row r="528" spans="1:14" ht="24.95" customHeight="1">
      <c r="B528" s="82" t="s">
        <v>1798</v>
      </c>
      <c r="C528" s="76" t="s">
        <v>67</v>
      </c>
      <c r="D528" s="80" t="s">
        <v>2005</v>
      </c>
      <c r="E528" s="26" t="s">
        <v>2006</v>
      </c>
      <c r="F528" s="46" t="s">
        <v>1729</v>
      </c>
      <c r="G528" s="48">
        <v>35440</v>
      </c>
      <c r="H528" s="73" t="s">
        <v>1820</v>
      </c>
      <c r="I528" s="63" t="s">
        <v>22</v>
      </c>
      <c r="J528" s="26"/>
      <c r="K528" s="64">
        <v>46204</v>
      </c>
      <c r="L528" s="64">
        <v>46204</v>
      </c>
      <c r="M528" s="214">
        <v>46204</v>
      </c>
      <c r="N528" s="65">
        <v>48029</v>
      </c>
    </row>
    <row r="529" spans="1:14" ht="24.95" customHeight="1">
      <c r="A529" s="76">
        <v>5</v>
      </c>
      <c r="B529" s="82" t="s">
        <v>1798</v>
      </c>
      <c r="C529" s="76" t="s">
        <v>67</v>
      </c>
      <c r="D529" s="80" t="s">
        <v>2007</v>
      </c>
      <c r="E529" s="26" t="s">
        <v>2008</v>
      </c>
      <c r="F529" s="46" t="s">
        <v>1729</v>
      </c>
      <c r="G529" s="48">
        <v>35662</v>
      </c>
      <c r="H529" s="73" t="s">
        <v>1820</v>
      </c>
      <c r="I529" s="63" t="s">
        <v>22</v>
      </c>
      <c r="J529" s="26"/>
      <c r="K529" s="64">
        <f t="shared" si="1"/>
        <v>46204</v>
      </c>
      <c r="L529" s="64">
        <f t="shared" si="2"/>
        <v>46204</v>
      </c>
      <c r="M529" s="214">
        <f t="shared" si="3"/>
        <v>46204</v>
      </c>
      <c r="N529" s="65">
        <f t="shared" si="4"/>
        <v>48029</v>
      </c>
    </row>
    <row r="530" spans="1:14" ht="24.95" customHeight="1">
      <c r="B530" s="76" t="s">
        <v>215</v>
      </c>
      <c r="C530" s="76" t="s">
        <v>39</v>
      </c>
      <c r="D530" s="80" t="s">
        <v>2009</v>
      </c>
      <c r="E530" s="26" t="s">
        <v>2010</v>
      </c>
      <c r="F530" s="46" t="s">
        <v>1729</v>
      </c>
      <c r="G530" s="48">
        <v>31773</v>
      </c>
      <c r="H530" s="73" t="s">
        <v>1820</v>
      </c>
      <c r="I530" s="63" t="s">
        <v>22</v>
      </c>
      <c r="J530" s="26"/>
      <c r="K530" s="64">
        <v>46204</v>
      </c>
      <c r="L530" s="64">
        <f>$K$530</f>
        <v>46204</v>
      </c>
      <c r="M530" s="214">
        <f>$K$530</f>
        <v>46204</v>
      </c>
      <c r="N530" s="65">
        <f>$N$531</f>
        <v>48029</v>
      </c>
    </row>
    <row r="531" spans="1:14" ht="24.95" customHeight="1">
      <c r="A531" s="76">
        <v>8</v>
      </c>
      <c r="B531" s="216" t="s">
        <v>1777</v>
      </c>
      <c r="C531" s="76" t="s">
        <v>45</v>
      </c>
      <c r="D531" s="80" t="s">
        <v>2011</v>
      </c>
      <c r="E531" s="26" t="s">
        <v>2012</v>
      </c>
      <c r="F531" s="46" t="s">
        <v>1729</v>
      </c>
      <c r="G531" s="48">
        <v>31407</v>
      </c>
      <c r="H531" s="73" t="s">
        <v>1820</v>
      </c>
      <c r="I531" s="63" t="s">
        <v>22</v>
      </c>
      <c r="J531" s="26"/>
      <c r="K531" s="64">
        <v>46204</v>
      </c>
      <c r="L531" s="64">
        <v>46204</v>
      </c>
      <c r="M531" s="214">
        <v>46204</v>
      </c>
      <c r="N531" s="65">
        <v>48029</v>
      </c>
    </row>
    <row r="532" spans="1:14" ht="24.95" customHeight="1">
      <c r="B532" s="216" t="s">
        <v>1777</v>
      </c>
      <c r="C532" s="76" t="s">
        <v>47</v>
      </c>
      <c r="D532" s="80" t="s">
        <v>2015</v>
      </c>
      <c r="E532" s="26" t="s">
        <v>2016</v>
      </c>
      <c r="F532" s="46" t="s">
        <v>1729</v>
      </c>
      <c r="G532" s="48">
        <v>35309</v>
      </c>
      <c r="H532" s="73" t="s">
        <v>1820</v>
      </c>
      <c r="I532" s="63" t="s">
        <v>22</v>
      </c>
      <c r="J532" s="26"/>
      <c r="K532" s="64">
        <v>46204</v>
      </c>
      <c r="L532" s="64">
        <f t="shared" ref="L532:M534" si="5">$K$532</f>
        <v>46204</v>
      </c>
      <c r="M532" s="214">
        <f t="shared" si="5"/>
        <v>46204</v>
      </c>
      <c r="N532" s="65">
        <f>$N$531</f>
        <v>48029</v>
      </c>
    </row>
    <row r="533" spans="1:14" ht="24.95" customHeight="1">
      <c r="B533" s="216" t="s">
        <v>1777</v>
      </c>
      <c r="C533" s="76" t="s">
        <v>2013</v>
      </c>
      <c r="D533" s="80" t="s">
        <v>2017</v>
      </c>
      <c r="E533" s="26" t="s">
        <v>2018</v>
      </c>
      <c r="F533" s="46" t="s">
        <v>1729</v>
      </c>
      <c r="G533" s="48">
        <v>31220</v>
      </c>
      <c r="H533" s="73" t="s">
        <v>1820</v>
      </c>
      <c r="I533" s="63" t="s">
        <v>22</v>
      </c>
      <c r="J533" s="26"/>
      <c r="K533" s="64">
        <f>$K$532</f>
        <v>46204</v>
      </c>
      <c r="L533" s="64">
        <f t="shared" si="5"/>
        <v>46204</v>
      </c>
      <c r="M533" s="214">
        <f t="shared" si="5"/>
        <v>46204</v>
      </c>
      <c r="N533" s="65">
        <f>$N$532</f>
        <v>48029</v>
      </c>
    </row>
    <row r="534" spans="1:14" ht="24.95" customHeight="1">
      <c r="A534" s="76">
        <v>1</v>
      </c>
      <c r="B534" s="216" t="s">
        <v>1777</v>
      </c>
      <c r="C534" s="76" t="s">
        <v>2014</v>
      </c>
      <c r="D534" s="80" t="s">
        <v>2019</v>
      </c>
      <c r="E534" s="26" t="s">
        <v>2020</v>
      </c>
      <c r="F534" s="46" t="s">
        <v>1729</v>
      </c>
      <c r="G534" s="48">
        <v>29952</v>
      </c>
      <c r="H534" s="73" t="s">
        <v>1820</v>
      </c>
      <c r="I534" s="63" t="s">
        <v>22</v>
      </c>
      <c r="J534" s="26"/>
      <c r="K534" s="64">
        <f>$K$532</f>
        <v>46204</v>
      </c>
      <c r="L534" s="64">
        <f t="shared" si="5"/>
        <v>46204</v>
      </c>
      <c r="M534" s="214">
        <f t="shared" si="5"/>
        <v>46204</v>
      </c>
      <c r="N534" s="65">
        <f>$N$531</f>
        <v>48029</v>
      </c>
    </row>
    <row r="535" spans="1:14" ht="24.95" customHeight="1">
      <c r="A535" s="76">
        <v>2</v>
      </c>
      <c r="B535" s="216" t="s">
        <v>46</v>
      </c>
      <c r="C535" s="76" t="s">
        <v>47</v>
      </c>
      <c r="D535" s="80" t="s">
        <v>2021</v>
      </c>
      <c r="E535" s="26" t="s">
        <v>2022</v>
      </c>
      <c r="F535" s="46" t="s">
        <v>1729</v>
      </c>
      <c r="G535" s="48">
        <v>36780</v>
      </c>
      <c r="H535" s="73" t="s">
        <v>1820</v>
      </c>
      <c r="I535" s="63" t="s">
        <v>22</v>
      </c>
      <c r="J535" s="26"/>
      <c r="K535" s="64">
        <v>46204</v>
      </c>
      <c r="L535" s="64"/>
      <c r="M535" s="214">
        <f>$L$536</f>
        <v>46204</v>
      </c>
      <c r="N535" s="65">
        <f>$N$536</f>
        <v>48029</v>
      </c>
    </row>
    <row r="536" spans="1:14" ht="24.95" customHeight="1">
      <c r="A536" s="76">
        <v>4</v>
      </c>
      <c r="B536" s="216" t="s">
        <v>46</v>
      </c>
      <c r="C536" s="76" t="s">
        <v>2013</v>
      </c>
      <c r="D536" s="471" t="s">
        <v>2023</v>
      </c>
      <c r="E536" s="143" t="s">
        <v>2024</v>
      </c>
      <c r="F536" s="253" t="s">
        <v>1729</v>
      </c>
      <c r="G536" s="255">
        <v>36630</v>
      </c>
      <c r="H536" s="141" t="s">
        <v>1820</v>
      </c>
      <c r="I536" s="142" t="s">
        <v>22</v>
      </c>
      <c r="J536" s="143"/>
      <c r="K536" s="250">
        <v>46204</v>
      </c>
      <c r="L536" s="250">
        <v>46204</v>
      </c>
      <c r="M536" s="329" t="s">
        <v>2025</v>
      </c>
      <c r="N536" s="330">
        <v>48029</v>
      </c>
    </row>
    <row r="537" spans="1:14" ht="24.95" customHeight="1">
      <c r="A537" s="76">
        <v>6</v>
      </c>
      <c r="B537" s="216" t="s">
        <v>363</v>
      </c>
      <c r="C537" s="210"/>
      <c r="D537" s="80"/>
      <c r="E537" s="26"/>
      <c r="F537" s="46"/>
      <c r="G537" s="48"/>
      <c r="H537" s="63"/>
      <c r="I537" s="63"/>
      <c r="J537" s="26"/>
      <c r="K537" s="64"/>
      <c r="L537" s="64"/>
      <c r="M537" s="214"/>
      <c r="N537" s="65"/>
    </row>
    <row r="538" spans="1:14" ht="24.95" customHeight="1">
      <c r="A538" s="76">
        <v>7</v>
      </c>
      <c r="B538" s="77" t="s">
        <v>757</v>
      </c>
      <c r="C538" s="27"/>
      <c r="D538" s="35"/>
      <c r="E538" s="35"/>
      <c r="F538" s="35"/>
      <c r="G538" s="47"/>
      <c r="H538" s="35"/>
      <c r="I538" s="35"/>
      <c r="J538" s="35"/>
      <c r="K538" s="100"/>
      <c r="L538" s="100"/>
      <c r="M538" s="62"/>
      <c r="N538" s="62"/>
    </row>
    <row r="539" spans="1:14" s="2" customFormat="1" ht="24.95" customHeight="1">
      <c r="A539" s="76">
        <v>8</v>
      </c>
      <c r="B539" s="76" t="s">
        <v>650</v>
      </c>
      <c r="C539" s="76" t="s">
        <v>55</v>
      </c>
      <c r="D539" s="80" t="s">
        <v>1002</v>
      </c>
      <c r="E539" s="107" t="s">
        <v>1003</v>
      </c>
      <c r="F539" s="46" t="s">
        <v>20</v>
      </c>
      <c r="G539" s="48" t="s">
        <v>1004</v>
      </c>
      <c r="H539" s="63" t="s">
        <v>926</v>
      </c>
      <c r="I539" s="63" t="s">
        <v>22</v>
      </c>
      <c r="J539" s="26" t="s">
        <v>30</v>
      </c>
      <c r="K539" s="64">
        <v>45245</v>
      </c>
      <c r="L539" s="64">
        <v>45245</v>
      </c>
      <c r="M539" s="214">
        <v>45306</v>
      </c>
      <c r="N539" s="65">
        <v>47132</v>
      </c>
    </row>
    <row r="540" spans="1:14" s="2" customFormat="1" ht="24.95" customHeight="1">
      <c r="A540" s="76"/>
      <c r="B540" s="24" t="s">
        <v>204</v>
      </c>
      <c r="C540" s="27" t="s">
        <v>35</v>
      </c>
      <c r="D540" s="24" t="s">
        <v>760</v>
      </c>
      <c r="E540" s="96" t="s">
        <v>761</v>
      </c>
      <c r="F540" s="46" t="s">
        <v>20</v>
      </c>
      <c r="G540" s="48">
        <v>28038</v>
      </c>
      <c r="H540" s="63" t="s">
        <v>926</v>
      </c>
      <c r="I540" s="63" t="s">
        <v>22</v>
      </c>
      <c r="J540" s="26" t="s">
        <v>30</v>
      </c>
      <c r="K540" s="64">
        <v>37445</v>
      </c>
      <c r="L540" s="64">
        <v>45839</v>
      </c>
      <c r="M540" s="65">
        <v>45108</v>
      </c>
      <c r="N540" s="65">
        <v>46934</v>
      </c>
    </row>
    <row r="541" spans="1:14" s="2" customFormat="1" ht="24.95" customHeight="1">
      <c r="A541" s="76">
        <v>9</v>
      </c>
      <c r="B541" s="76" t="s">
        <v>1799</v>
      </c>
      <c r="C541" s="24" t="s">
        <v>26</v>
      </c>
      <c r="D541" s="29" t="s">
        <v>194</v>
      </c>
      <c r="E541" s="89" t="s">
        <v>195</v>
      </c>
      <c r="F541" s="26" t="s">
        <v>20</v>
      </c>
      <c r="G541" s="43">
        <v>29937</v>
      </c>
      <c r="H541" s="63" t="s">
        <v>926</v>
      </c>
      <c r="I541" s="52" t="s">
        <v>22</v>
      </c>
      <c r="J541" s="26" t="s">
        <v>30</v>
      </c>
      <c r="K541" s="53">
        <v>42352</v>
      </c>
      <c r="L541" s="53">
        <f>$L$540</f>
        <v>45839</v>
      </c>
      <c r="M541" s="55">
        <v>45474</v>
      </c>
      <c r="N541" s="55">
        <v>47299</v>
      </c>
    </row>
    <row r="542" spans="1:14" s="2" customFormat="1" ht="24.95" customHeight="1">
      <c r="A542" s="76">
        <v>10</v>
      </c>
      <c r="B542" s="76" t="s">
        <v>1005</v>
      </c>
      <c r="C542" s="472" t="s">
        <v>26</v>
      </c>
      <c r="D542" s="472" t="s">
        <v>1006</v>
      </c>
      <c r="E542" s="93" t="s">
        <v>1007</v>
      </c>
      <c r="F542" s="92" t="s">
        <v>29</v>
      </c>
      <c r="G542" s="94">
        <v>26618</v>
      </c>
      <c r="H542" s="473" t="s">
        <v>926</v>
      </c>
      <c r="I542" s="474" t="s">
        <v>22</v>
      </c>
      <c r="J542" s="475" t="s">
        <v>30</v>
      </c>
      <c r="K542" s="476">
        <v>39980</v>
      </c>
      <c r="L542" s="476">
        <v>45275</v>
      </c>
      <c r="M542" s="477">
        <v>45108</v>
      </c>
      <c r="N542" s="477">
        <v>46934</v>
      </c>
    </row>
    <row r="543" spans="1:14" s="2" customFormat="1" ht="24.95" customHeight="1">
      <c r="A543" s="76"/>
      <c r="B543" s="76" t="s">
        <v>1801</v>
      </c>
      <c r="C543" s="76" t="s">
        <v>39</v>
      </c>
      <c r="D543" s="24" t="s">
        <v>1012</v>
      </c>
      <c r="E543" s="26" t="s">
        <v>1013</v>
      </c>
      <c r="F543" s="46" t="s">
        <v>20</v>
      </c>
      <c r="G543" s="48">
        <v>28678</v>
      </c>
      <c r="H543" s="73" t="s">
        <v>926</v>
      </c>
      <c r="I543" s="63" t="s">
        <v>22</v>
      </c>
      <c r="J543" s="26" t="s">
        <v>30</v>
      </c>
      <c r="K543" s="64">
        <v>41345</v>
      </c>
      <c r="L543" s="64">
        <v>41345</v>
      </c>
      <c r="M543" s="62">
        <v>45108</v>
      </c>
      <c r="N543" s="62">
        <v>46934</v>
      </c>
    </row>
    <row r="544" spans="1:14" s="2" customFormat="1" ht="24.95" customHeight="1">
      <c r="A544" s="76">
        <v>11</v>
      </c>
      <c r="B544" s="82" t="s">
        <v>543</v>
      </c>
      <c r="C544" s="76" t="s">
        <v>39</v>
      </c>
      <c r="D544" s="84" t="s">
        <v>1014</v>
      </c>
      <c r="E544" s="96" t="s">
        <v>1015</v>
      </c>
      <c r="F544" s="46" t="s">
        <v>29</v>
      </c>
      <c r="G544" s="48">
        <v>31917</v>
      </c>
      <c r="H544" s="73" t="s">
        <v>926</v>
      </c>
      <c r="I544" s="63" t="s">
        <v>22</v>
      </c>
      <c r="J544" s="26" t="s">
        <v>30</v>
      </c>
      <c r="K544" s="64">
        <v>42095</v>
      </c>
      <c r="L544" s="64">
        <v>44378</v>
      </c>
      <c r="M544" s="98">
        <v>45474</v>
      </c>
      <c r="N544" s="98">
        <v>47299</v>
      </c>
    </row>
    <row r="545" spans="1:14" s="2" customFormat="1" ht="24.95" customHeight="1">
      <c r="A545" s="76"/>
      <c r="B545" s="82" t="s">
        <v>212</v>
      </c>
      <c r="C545" s="76" t="s">
        <v>39</v>
      </c>
      <c r="D545" s="24" t="s">
        <v>1016</v>
      </c>
      <c r="E545" s="35" t="s">
        <v>1017</v>
      </c>
      <c r="F545" s="46" t="s">
        <v>29</v>
      </c>
      <c r="G545" s="48">
        <v>28003</v>
      </c>
      <c r="H545" s="73" t="s">
        <v>926</v>
      </c>
      <c r="I545" s="63" t="s">
        <v>22</v>
      </c>
      <c r="J545" s="26" t="s">
        <v>30</v>
      </c>
      <c r="K545" s="64">
        <v>40001</v>
      </c>
      <c r="L545" s="64">
        <v>43466</v>
      </c>
      <c r="M545" s="98">
        <v>45107</v>
      </c>
      <c r="N545" s="98">
        <v>46934</v>
      </c>
    </row>
    <row r="546" spans="1:14" s="2" customFormat="1" ht="24.95" customHeight="1">
      <c r="A546" s="76">
        <v>12</v>
      </c>
      <c r="B546" s="76" t="s">
        <v>38</v>
      </c>
      <c r="C546" s="76" t="s">
        <v>39</v>
      </c>
      <c r="D546" s="24" t="s">
        <v>1020</v>
      </c>
      <c r="E546" s="26" t="s">
        <v>1021</v>
      </c>
      <c r="F546" s="46" t="s">
        <v>29</v>
      </c>
      <c r="G546" s="48">
        <v>29343</v>
      </c>
      <c r="H546" s="73" t="s">
        <v>926</v>
      </c>
      <c r="I546" s="63" t="s">
        <v>22</v>
      </c>
      <c r="J546" s="26" t="s">
        <v>30</v>
      </c>
      <c r="K546" s="64">
        <v>40207</v>
      </c>
      <c r="L546" s="64">
        <v>45392</v>
      </c>
      <c r="M546" s="62">
        <v>45108</v>
      </c>
      <c r="N546" s="62" t="s">
        <v>927</v>
      </c>
    </row>
    <row r="547" spans="1:14" s="2" customFormat="1" ht="24.95" customHeight="1">
      <c r="A547" s="76"/>
      <c r="B547" s="76" t="s">
        <v>216</v>
      </c>
      <c r="C547" s="76" t="s">
        <v>85</v>
      </c>
      <c r="D547" s="24" t="s">
        <v>1022</v>
      </c>
      <c r="E547" s="26" t="s">
        <v>1023</v>
      </c>
      <c r="F547" s="46" t="s">
        <v>29</v>
      </c>
      <c r="G547" s="48">
        <v>27286</v>
      </c>
      <c r="H547" s="73" t="s">
        <v>926</v>
      </c>
      <c r="I547" s="63" t="s">
        <v>22</v>
      </c>
      <c r="J547" s="26" t="s">
        <v>30</v>
      </c>
      <c r="K547" s="64">
        <v>40605</v>
      </c>
      <c r="L547" s="64">
        <v>40605</v>
      </c>
      <c r="M547" s="214">
        <v>45474</v>
      </c>
      <c r="N547" s="65">
        <v>47299</v>
      </c>
    </row>
    <row r="548" spans="1:14" s="2" customFormat="1" ht="24.95" customHeight="1">
      <c r="A548" s="76"/>
      <c r="B548" s="76" t="s">
        <v>226</v>
      </c>
      <c r="C548" s="76" t="s">
        <v>85</v>
      </c>
      <c r="D548" s="24" t="s">
        <v>1024</v>
      </c>
      <c r="E548" s="263" t="s">
        <v>1025</v>
      </c>
      <c r="F548" s="46" t="s">
        <v>29</v>
      </c>
      <c r="G548" s="48">
        <v>34475</v>
      </c>
      <c r="H548" s="73" t="s">
        <v>926</v>
      </c>
      <c r="I548" s="63" t="s">
        <v>22</v>
      </c>
      <c r="J548" s="26" t="s">
        <v>30</v>
      </c>
      <c r="K548" s="64">
        <v>43591</v>
      </c>
      <c r="L548" s="64">
        <v>43591</v>
      </c>
      <c r="M548" s="98">
        <v>45474</v>
      </c>
      <c r="N548" s="98">
        <v>47299</v>
      </c>
    </row>
    <row r="549" spans="1:14" ht="24.95" customHeight="1">
      <c r="B549" s="76" t="s">
        <v>226</v>
      </c>
      <c r="C549" s="76" t="s">
        <v>1981</v>
      </c>
      <c r="D549" s="24" t="s">
        <v>1980</v>
      </c>
      <c r="E549" s="456" t="s">
        <v>2028</v>
      </c>
      <c r="F549" s="272" t="s">
        <v>20</v>
      </c>
      <c r="G549" s="273">
        <v>34896</v>
      </c>
      <c r="H549" s="274" t="s">
        <v>926</v>
      </c>
      <c r="I549" s="274" t="s">
        <v>22</v>
      </c>
      <c r="J549" s="271" t="s">
        <v>30</v>
      </c>
      <c r="K549" s="275">
        <v>46197</v>
      </c>
      <c r="L549" s="275">
        <v>46197</v>
      </c>
      <c r="M549" s="457">
        <v>46197</v>
      </c>
      <c r="N549" s="457">
        <v>48029</v>
      </c>
    </row>
    <row r="550" spans="1:14" s="2" customFormat="1" ht="24.95" customHeight="1">
      <c r="A550" s="76"/>
      <c r="B550" s="76" t="s">
        <v>562</v>
      </c>
      <c r="C550" s="76" t="s">
        <v>85</v>
      </c>
      <c r="D550" s="24" t="s">
        <v>1026</v>
      </c>
      <c r="E550" s="107" t="s">
        <v>1027</v>
      </c>
      <c r="F550" s="46" t="s">
        <v>20</v>
      </c>
      <c r="G550" s="48">
        <v>27595</v>
      </c>
      <c r="H550" s="73" t="s">
        <v>926</v>
      </c>
      <c r="I550" s="63" t="s">
        <v>22</v>
      </c>
      <c r="J550" s="26" t="s">
        <v>50</v>
      </c>
      <c r="K550" s="64">
        <v>40308</v>
      </c>
      <c r="L550" s="64">
        <v>45490</v>
      </c>
      <c r="M550" s="62">
        <v>45108</v>
      </c>
      <c r="N550" s="62" t="s">
        <v>927</v>
      </c>
    </row>
    <row r="551" spans="1:14" ht="24.95" customHeight="1">
      <c r="A551" s="76">
        <v>15</v>
      </c>
      <c r="B551" s="76" t="s">
        <v>44</v>
      </c>
      <c r="C551" s="76" t="s">
        <v>45</v>
      </c>
      <c r="D551" s="24" t="s">
        <v>1028</v>
      </c>
      <c r="E551" s="26" t="s">
        <v>1029</v>
      </c>
      <c r="F551" s="46" t="s">
        <v>20</v>
      </c>
      <c r="G551" s="48">
        <v>26645</v>
      </c>
      <c r="H551" s="73" t="s">
        <v>926</v>
      </c>
      <c r="I551" s="63" t="s">
        <v>22</v>
      </c>
      <c r="J551" s="26" t="s">
        <v>50</v>
      </c>
      <c r="K551" s="64">
        <v>39545</v>
      </c>
      <c r="L551" s="64">
        <v>39545</v>
      </c>
      <c r="M551" s="62">
        <v>45108</v>
      </c>
      <c r="N551" s="62" t="s">
        <v>927</v>
      </c>
    </row>
    <row r="552" spans="1:14" ht="24.95" customHeight="1">
      <c r="A552" s="76">
        <v>18</v>
      </c>
      <c r="B552" s="76" t="s">
        <v>44</v>
      </c>
      <c r="C552" s="76" t="s">
        <v>45</v>
      </c>
      <c r="D552" s="84" t="s">
        <v>1030</v>
      </c>
      <c r="E552" s="263" t="s">
        <v>1031</v>
      </c>
      <c r="F552" s="46" t="s">
        <v>20</v>
      </c>
      <c r="G552" s="48">
        <v>29657</v>
      </c>
      <c r="H552" s="73" t="s">
        <v>926</v>
      </c>
      <c r="I552" s="63" t="s">
        <v>22</v>
      </c>
      <c r="J552" s="26" t="s">
        <v>50</v>
      </c>
      <c r="K552" s="64">
        <v>43466</v>
      </c>
      <c r="L552" s="64">
        <v>43466</v>
      </c>
      <c r="M552" s="62">
        <v>45108</v>
      </c>
      <c r="N552" s="62" t="s">
        <v>1032</v>
      </c>
    </row>
    <row r="553" spans="1:14" ht="24.95" customHeight="1">
      <c r="B553" s="76" t="s">
        <v>44</v>
      </c>
      <c r="C553" s="76" t="s">
        <v>45</v>
      </c>
      <c r="D553" s="24" t="s">
        <v>1033</v>
      </c>
      <c r="E553" s="26" t="s">
        <v>1034</v>
      </c>
      <c r="F553" s="46" t="s">
        <v>20</v>
      </c>
      <c r="G553" s="48">
        <v>28316</v>
      </c>
      <c r="H553" s="73" t="s">
        <v>926</v>
      </c>
      <c r="I553" s="63" t="s">
        <v>22</v>
      </c>
      <c r="J553" s="26" t="s">
        <v>50</v>
      </c>
      <c r="K553" s="64">
        <v>41009</v>
      </c>
      <c r="L553" s="64">
        <v>41009</v>
      </c>
      <c r="M553" s="214">
        <v>45839</v>
      </c>
      <c r="N553" s="65">
        <v>47664</v>
      </c>
    </row>
    <row r="554" spans="1:14" ht="24.95" customHeight="1">
      <c r="B554" s="76" t="s">
        <v>44</v>
      </c>
      <c r="C554" s="76" t="s">
        <v>45</v>
      </c>
      <c r="D554" s="24" t="s">
        <v>1035</v>
      </c>
      <c r="E554" s="107" t="s">
        <v>1036</v>
      </c>
      <c r="F554" s="46" t="s">
        <v>20</v>
      </c>
      <c r="G554" s="48">
        <v>27760</v>
      </c>
      <c r="H554" s="73" t="s">
        <v>926</v>
      </c>
      <c r="I554" s="63" t="s">
        <v>22</v>
      </c>
      <c r="J554" s="26" t="s">
        <v>50</v>
      </c>
      <c r="K554" s="64">
        <v>37602</v>
      </c>
      <c r="L554" s="64">
        <v>37602</v>
      </c>
      <c r="M554" s="98">
        <v>45474</v>
      </c>
      <c r="N554" s="98">
        <v>47299</v>
      </c>
    </row>
    <row r="555" spans="1:14" s="2" customFormat="1" ht="24.95" customHeight="1">
      <c r="A555" s="76"/>
      <c r="B555" s="76" t="s">
        <v>46</v>
      </c>
      <c r="C555" s="76" t="s">
        <v>1037</v>
      </c>
      <c r="D555" s="24" t="s">
        <v>1038</v>
      </c>
      <c r="E555" s="107" t="s">
        <v>1039</v>
      </c>
      <c r="F555" s="46" t="s">
        <v>29</v>
      </c>
      <c r="G555" s="48">
        <v>31944</v>
      </c>
      <c r="H555" s="73" t="s">
        <v>926</v>
      </c>
      <c r="I555" s="63" t="s">
        <v>22</v>
      </c>
      <c r="J555" s="26" t="s">
        <v>50</v>
      </c>
      <c r="K555" s="64">
        <v>40308</v>
      </c>
      <c r="L555" s="64">
        <v>40308</v>
      </c>
      <c r="M555" s="62">
        <v>44933</v>
      </c>
      <c r="N555" s="62" t="s">
        <v>927</v>
      </c>
    </row>
    <row r="556" spans="1:14" ht="24.95" customHeight="1">
      <c r="A556" s="76">
        <v>19</v>
      </c>
      <c r="B556" s="76" t="s">
        <v>577</v>
      </c>
      <c r="C556" s="76" t="s">
        <v>45</v>
      </c>
      <c r="D556" s="24" t="s">
        <v>1040</v>
      </c>
      <c r="E556" s="26" t="s">
        <v>1041</v>
      </c>
      <c r="F556" s="46" t="s">
        <v>20</v>
      </c>
      <c r="G556" s="48">
        <v>27729</v>
      </c>
      <c r="H556" s="73" t="s">
        <v>926</v>
      </c>
      <c r="I556" s="63" t="s">
        <v>22</v>
      </c>
      <c r="J556" s="26" t="s">
        <v>50</v>
      </c>
      <c r="K556" s="64">
        <v>41009</v>
      </c>
      <c r="L556" s="64">
        <v>41009</v>
      </c>
      <c r="M556" s="62">
        <v>45474</v>
      </c>
      <c r="N556" s="62">
        <v>47299</v>
      </c>
    </row>
    <row r="557" spans="1:14" ht="24.95" customHeight="1">
      <c r="A557" s="77"/>
      <c r="B557" s="76" t="s">
        <v>100</v>
      </c>
      <c r="C557" s="76" t="s">
        <v>1037</v>
      </c>
      <c r="D557" s="24" t="s">
        <v>1042</v>
      </c>
      <c r="E557" s="107" t="s">
        <v>1043</v>
      </c>
      <c r="F557" s="46" t="s">
        <v>20</v>
      </c>
      <c r="G557" s="48">
        <v>19635</v>
      </c>
      <c r="H557" s="73" t="s">
        <v>926</v>
      </c>
      <c r="I557" s="63" t="s">
        <v>22</v>
      </c>
      <c r="J557" s="26" t="s">
        <v>50</v>
      </c>
      <c r="K557" s="64">
        <v>38853</v>
      </c>
      <c r="L557" s="64">
        <v>38853</v>
      </c>
      <c r="M557" s="214">
        <v>41456</v>
      </c>
      <c r="N557" s="65">
        <v>46934</v>
      </c>
    </row>
    <row r="558" spans="1:14" ht="24.95" customHeight="1">
      <c r="A558" s="77"/>
      <c r="B558" s="76" t="s">
        <v>100</v>
      </c>
      <c r="C558" s="76" t="s">
        <v>1037</v>
      </c>
      <c r="D558" s="24" t="s">
        <v>1959</v>
      </c>
      <c r="E558" s="107"/>
      <c r="F558" s="46" t="s">
        <v>20</v>
      </c>
      <c r="G558" s="48">
        <v>23924</v>
      </c>
      <c r="H558" s="73" t="s">
        <v>926</v>
      </c>
      <c r="I558" s="63" t="s">
        <v>22</v>
      </c>
      <c r="J558" s="26" t="s">
        <v>50</v>
      </c>
      <c r="K558" s="64">
        <v>34883</v>
      </c>
      <c r="L558" s="64">
        <v>34883</v>
      </c>
      <c r="M558" s="62">
        <v>45108</v>
      </c>
      <c r="N558" s="62">
        <v>46935</v>
      </c>
    </row>
    <row r="559" spans="1:14" ht="24.95" customHeight="1">
      <c r="A559" s="77"/>
      <c r="B559" s="76" t="s">
        <v>1784</v>
      </c>
      <c r="C559" s="76"/>
      <c r="D559" s="217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s="3" customFormat="1" ht="24.95" customHeight="1">
      <c r="A560" s="76">
        <v>1</v>
      </c>
      <c r="B560" s="252" t="s">
        <v>1044</v>
      </c>
      <c r="C560" s="76"/>
      <c r="D560" s="24"/>
      <c r="E560" s="107"/>
      <c r="F560" s="46"/>
      <c r="G560" s="48"/>
      <c r="H560" s="73"/>
      <c r="I560" s="63"/>
      <c r="J560" s="26"/>
      <c r="K560" s="64"/>
      <c r="L560" s="64"/>
      <c r="M560" s="62"/>
      <c r="N560" s="62"/>
    </row>
    <row r="561" spans="1:14" s="3" customFormat="1" ht="24.95" customHeight="1">
      <c r="A561" s="76">
        <v>2</v>
      </c>
      <c r="B561" s="137" t="s">
        <v>1045</v>
      </c>
      <c r="C561" s="125"/>
      <c r="D561" s="122" t="s">
        <v>52</v>
      </c>
      <c r="E561" s="126"/>
      <c r="F561" s="126"/>
      <c r="G561" s="133"/>
      <c r="H561" s="137"/>
      <c r="I561" s="126"/>
      <c r="J561" s="126"/>
      <c r="K561" s="138"/>
      <c r="L561" s="138"/>
      <c r="M561" s="139"/>
      <c r="N561" s="139"/>
    </row>
    <row r="562" spans="1:14" s="313" customFormat="1" ht="24.95" customHeight="1">
      <c r="A562" s="76">
        <v>3</v>
      </c>
      <c r="B562" s="31" t="s">
        <v>1046</v>
      </c>
      <c r="C562" s="128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s="344" customFormat="1" ht="24.95" customHeight="1">
      <c r="A563" s="76">
        <v>4</v>
      </c>
      <c r="B563" s="28" t="s">
        <v>263</v>
      </c>
      <c r="C563" s="24" t="s">
        <v>129</v>
      </c>
      <c r="D563" s="24" t="s">
        <v>1048</v>
      </c>
      <c r="E563" s="26" t="s">
        <v>1049</v>
      </c>
      <c r="F563" s="46" t="s">
        <v>20</v>
      </c>
      <c r="G563" s="48">
        <v>25552</v>
      </c>
      <c r="H563" s="73" t="s">
        <v>1047</v>
      </c>
      <c r="I563" s="63" t="s">
        <v>22</v>
      </c>
      <c r="J563" s="26" t="s">
        <v>62</v>
      </c>
      <c r="K563" s="64">
        <v>39631</v>
      </c>
      <c r="L563" s="64">
        <v>43832</v>
      </c>
      <c r="M563" s="62" t="s">
        <v>1050</v>
      </c>
      <c r="N563" s="62" t="s">
        <v>1051</v>
      </c>
    </row>
    <row r="564" spans="1:14" s="344" customFormat="1" ht="24.95" customHeight="1">
      <c r="A564" s="76"/>
      <c r="B564" s="28" t="s">
        <v>263</v>
      </c>
      <c r="C564" s="24" t="s">
        <v>129</v>
      </c>
      <c r="D564" s="240" t="s">
        <v>1174</v>
      </c>
      <c r="E564" s="26" t="s">
        <v>1175</v>
      </c>
      <c r="F564" s="46" t="s">
        <v>20</v>
      </c>
      <c r="G564" s="48">
        <v>29508</v>
      </c>
      <c r="H564" s="73" t="s">
        <v>1047</v>
      </c>
      <c r="I564" s="63" t="s">
        <v>22</v>
      </c>
      <c r="J564" s="26" t="s">
        <v>62</v>
      </c>
      <c r="K564" s="64">
        <v>42108</v>
      </c>
      <c r="L564" s="64">
        <v>45747</v>
      </c>
      <c r="M564" s="65">
        <v>45474</v>
      </c>
      <c r="N564" s="65">
        <v>47299</v>
      </c>
    </row>
    <row r="565" spans="1:14" s="344" customFormat="1" ht="24.95" customHeight="1">
      <c r="A565" s="76">
        <v>6</v>
      </c>
      <c r="B565" s="28" t="s">
        <v>268</v>
      </c>
      <c r="C565" s="24" t="s">
        <v>123</v>
      </c>
      <c r="D565" s="24" t="s">
        <v>1052</v>
      </c>
      <c r="E565" s="262" t="s">
        <v>1053</v>
      </c>
      <c r="F565" s="46" t="s">
        <v>29</v>
      </c>
      <c r="G565" s="48">
        <v>29584</v>
      </c>
      <c r="H565" s="73" t="s">
        <v>1047</v>
      </c>
      <c r="I565" s="63" t="s">
        <v>22</v>
      </c>
      <c r="J565" s="26" t="s">
        <v>62</v>
      </c>
      <c r="K565" s="64">
        <v>45474</v>
      </c>
      <c r="L565" s="64">
        <v>47299</v>
      </c>
      <c r="M565" s="62">
        <v>45474</v>
      </c>
      <c r="N565" s="62">
        <v>47299</v>
      </c>
    </row>
    <row r="566" spans="1:14" s="344" customFormat="1" ht="24.95" customHeight="1">
      <c r="A566" s="76">
        <v>7</v>
      </c>
      <c r="B566" s="28" t="s">
        <v>268</v>
      </c>
      <c r="C566" s="24" t="s">
        <v>123</v>
      </c>
      <c r="D566" s="24" t="s">
        <v>1054</v>
      </c>
      <c r="E566" s="26" t="s">
        <v>1055</v>
      </c>
      <c r="F566" s="46" t="s">
        <v>29</v>
      </c>
      <c r="G566" s="48">
        <v>31170</v>
      </c>
      <c r="H566" s="73" t="s">
        <v>1047</v>
      </c>
      <c r="I566" s="63" t="s">
        <v>22</v>
      </c>
      <c r="J566" s="26" t="s">
        <v>62</v>
      </c>
      <c r="K566" s="64">
        <v>42068</v>
      </c>
      <c r="L566" s="64">
        <v>42068</v>
      </c>
      <c r="M566" s="65" t="s">
        <v>1056</v>
      </c>
      <c r="N566" s="65" t="s">
        <v>1954</v>
      </c>
    </row>
    <row r="567" spans="1:14" s="344" customFormat="1" ht="24.95" customHeight="1">
      <c r="A567" s="76">
        <v>8</v>
      </c>
      <c r="B567" s="28" t="s">
        <v>268</v>
      </c>
      <c r="C567" s="24" t="s">
        <v>123</v>
      </c>
      <c r="D567" s="24" t="s">
        <v>1952</v>
      </c>
      <c r="E567" s="95" t="s">
        <v>1956</v>
      </c>
      <c r="F567" s="46" t="s">
        <v>20</v>
      </c>
      <c r="G567" s="48">
        <v>31991</v>
      </c>
      <c r="H567" s="73" t="s">
        <v>1047</v>
      </c>
      <c r="I567" s="63" t="s">
        <v>22</v>
      </c>
      <c r="J567" s="26" t="s">
        <v>62</v>
      </c>
      <c r="K567" s="64">
        <v>46140</v>
      </c>
      <c r="L567" s="64">
        <v>46140</v>
      </c>
      <c r="M567" s="65">
        <v>46153</v>
      </c>
      <c r="N567" s="65">
        <v>47978</v>
      </c>
    </row>
    <row r="568" spans="1:14" s="344" customFormat="1" ht="24.95" customHeight="1">
      <c r="A568" s="76">
        <v>12</v>
      </c>
      <c r="B568" s="28" t="s">
        <v>286</v>
      </c>
      <c r="C568" s="24" t="s">
        <v>287</v>
      </c>
      <c r="D568" s="24" t="s">
        <v>1058</v>
      </c>
      <c r="E568" s="26" t="s">
        <v>1059</v>
      </c>
      <c r="F568" s="46" t="s">
        <v>29</v>
      </c>
      <c r="G568" s="48">
        <v>27267</v>
      </c>
      <c r="H568" s="73" t="s">
        <v>1047</v>
      </c>
      <c r="I568" s="63" t="s">
        <v>22</v>
      </c>
      <c r="J568" s="26" t="s">
        <v>70</v>
      </c>
      <c r="K568" s="64">
        <v>41000</v>
      </c>
      <c r="L568" s="64">
        <v>41000</v>
      </c>
      <c r="M568" s="65" t="s">
        <v>1056</v>
      </c>
      <c r="N568" s="65" t="s">
        <v>1057</v>
      </c>
    </row>
    <row r="569" spans="1:14" s="344" customFormat="1" ht="24.95" customHeight="1">
      <c r="A569" s="76"/>
      <c r="B569" s="28" t="s">
        <v>286</v>
      </c>
      <c r="C569" s="24" t="s">
        <v>287</v>
      </c>
      <c r="D569" s="24" t="s">
        <v>1060</v>
      </c>
      <c r="E569" s="26" t="s">
        <v>1061</v>
      </c>
      <c r="F569" s="46" t="s">
        <v>20</v>
      </c>
      <c r="G569" s="48">
        <v>29199</v>
      </c>
      <c r="H569" s="73" t="s">
        <v>1047</v>
      </c>
      <c r="I569" s="63" t="s">
        <v>22</v>
      </c>
      <c r="J569" s="26" t="s">
        <v>70</v>
      </c>
      <c r="K569" s="64">
        <v>41000</v>
      </c>
      <c r="L569" s="64">
        <v>41000</v>
      </c>
      <c r="M569" s="65">
        <v>45839</v>
      </c>
      <c r="N569" s="65">
        <v>47664</v>
      </c>
    </row>
    <row r="570" spans="1:14" s="344" customFormat="1" ht="24.95" customHeight="1">
      <c r="A570" s="76"/>
      <c r="B570" s="28" t="s">
        <v>286</v>
      </c>
      <c r="C570" s="24" t="s">
        <v>287</v>
      </c>
      <c r="D570" s="24" t="s">
        <v>1062</v>
      </c>
      <c r="E570" s="46" t="s">
        <v>1063</v>
      </c>
      <c r="F570" s="46" t="s">
        <v>20</v>
      </c>
      <c r="G570" s="48">
        <v>32804</v>
      </c>
      <c r="H570" s="73" t="s">
        <v>1047</v>
      </c>
      <c r="I570" s="63" t="s">
        <v>22</v>
      </c>
      <c r="J570" s="26" t="s">
        <v>70</v>
      </c>
      <c r="K570" s="64">
        <v>43726</v>
      </c>
      <c r="L570" s="64">
        <v>43726</v>
      </c>
      <c r="M570" s="65" t="s">
        <v>1064</v>
      </c>
      <c r="N570" s="65" t="s">
        <v>1057</v>
      </c>
    </row>
    <row r="571" spans="1:14" s="3" customFormat="1" ht="24.95" customHeight="1">
      <c r="A571" s="76">
        <v>14</v>
      </c>
      <c r="B571" s="28" t="s">
        <v>1789</v>
      </c>
      <c r="C571" s="24"/>
      <c r="D571" s="24"/>
      <c r="E571" s="46"/>
      <c r="F571" s="46"/>
      <c r="G571" s="48"/>
      <c r="H571" s="73"/>
      <c r="I571" s="63"/>
      <c r="J571" s="26"/>
      <c r="K571" s="64"/>
      <c r="L571" s="64"/>
      <c r="M571" s="65"/>
      <c r="N571" s="65"/>
    </row>
    <row r="572" spans="1:14" s="3" customFormat="1" ht="24.95" customHeight="1">
      <c r="A572" s="76">
        <v>15</v>
      </c>
      <c r="B572" s="458" t="s">
        <v>1065</v>
      </c>
      <c r="C572" s="458"/>
      <c r="D572" s="223" t="s">
        <v>52</v>
      </c>
      <c r="E572" s="227"/>
      <c r="F572" s="226" t="str">
        <f>IF(D572="","",VLOOKUP(D572,[4]Master!$A$2:$B$100,2,FALSE()))</f>
        <v/>
      </c>
      <c r="H572" s="51"/>
      <c r="I572" s="52"/>
      <c r="J572" s="26"/>
      <c r="K572" s="53"/>
      <c r="L572" s="53"/>
      <c r="M572" s="54"/>
      <c r="N572" s="54"/>
    </row>
    <row r="573" spans="1:14" s="344" customFormat="1" ht="24.95" customHeight="1">
      <c r="A573" s="76">
        <v>16</v>
      </c>
      <c r="B573" s="131" t="s">
        <v>291</v>
      </c>
      <c r="C573" s="24" t="s">
        <v>59</v>
      </c>
      <c r="D573" s="24" t="s">
        <v>1066</v>
      </c>
      <c r="E573" s="49" t="s">
        <v>1067</v>
      </c>
      <c r="F573" s="46" t="s">
        <v>29</v>
      </c>
      <c r="G573" s="48">
        <v>29786</v>
      </c>
      <c r="H573" s="73" t="s">
        <v>1047</v>
      </c>
      <c r="I573" s="63" t="s">
        <v>22</v>
      </c>
      <c r="J573" s="26" t="s">
        <v>62</v>
      </c>
      <c r="K573" s="64">
        <v>42917</v>
      </c>
      <c r="L573" s="64">
        <v>45810</v>
      </c>
      <c r="M573" s="62" t="s">
        <v>1050</v>
      </c>
      <c r="N573" s="62" t="s">
        <v>1051</v>
      </c>
    </row>
    <row r="574" spans="1:14" s="344" customFormat="1" ht="24.95" customHeight="1">
      <c r="A574" s="76"/>
      <c r="B574" s="131" t="s">
        <v>291</v>
      </c>
      <c r="C574" s="24" t="s">
        <v>59</v>
      </c>
      <c r="D574" s="24" t="s">
        <v>1068</v>
      </c>
      <c r="E574" s="228" t="s">
        <v>1069</v>
      </c>
      <c r="F574" s="46" t="s">
        <v>20</v>
      </c>
      <c r="G574" s="48">
        <v>28601</v>
      </c>
      <c r="H574" s="73" t="s">
        <v>1047</v>
      </c>
      <c r="I574" s="63" t="s">
        <v>22</v>
      </c>
      <c r="J574" s="26" t="s">
        <v>62</v>
      </c>
      <c r="K574" s="64">
        <v>39322</v>
      </c>
      <c r="L574" s="64">
        <v>45810</v>
      </c>
      <c r="M574" s="62">
        <v>45108</v>
      </c>
      <c r="N574" s="62" t="s">
        <v>1051</v>
      </c>
    </row>
    <row r="575" spans="1:14" s="344" customFormat="1" ht="24.95" customHeight="1">
      <c r="A575" s="76"/>
      <c r="B575" s="24" t="s">
        <v>360</v>
      </c>
      <c r="C575" s="224" t="s">
        <v>39</v>
      </c>
      <c r="D575" s="24" t="s">
        <v>1070</v>
      </c>
      <c r="E575" s="26" t="s">
        <v>1071</v>
      </c>
      <c r="F575" s="46" t="s">
        <v>20</v>
      </c>
      <c r="G575" s="48">
        <v>30002</v>
      </c>
      <c r="H575" s="73" t="s">
        <v>1047</v>
      </c>
      <c r="I575" s="63" t="s">
        <v>22</v>
      </c>
      <c r="J575" s="26" t="s">
        <v>70</v>
      </c>
      <c r="K575" s="64">
        <v>41214</v>
      </c>
      <c r="L575" s="64">
        <v>43525</v>
      </c>
      <c r="M575" s="62" t="s">
        <v>1050</v>
      </c>
      <c r="N575" s="62" t="s">
        <v>1051</v>
      </c>
    </row>
    <row r="576" spans="1:14" s="344" customFormat="1" ht="24.95" customHeight="1">
      <c r="A576" s="76"/>
      <c r="B576" s="28" t="s">
        <v>268</v>
      </c>
      <c r="C576" s="24" t="s">
        <v>123</v>
      </c>
      <c r="D576" s="24" t="s">
        <v>1072</v>
      </c>
      <c r="E576" s="26" t="s">
        <v>1073</v>
      </c>
      <c r="F576" s="46" t="s">
        <v>29</v>
      </c>
      <c r="G576" s="48">
        <v>28951</v>
      </c>
      <c r="H576" s="73" t="s">
        <v>1047</v>
      </c>
      <c r="I576" s="63" t="s">
        <v>22</v>
      </c>
      <c r="J576" s="26" t="s">
        <v>62</v>
      </c>
      <c r="K576" s="64">
        <v>41046</v>
      </c>
      <c r="L576" s="64">
        <v>41046</v>
      </c>
      <c r="M576" s="65" t="s">
        <v>1056</v>
      </c>
      <c r="N576" s="65" t="s">
        <v>1057</v>
      </c>
    </row>
    <row r="577" spans="1:14" s="344" customFormat="1" ht="24.95" customHeight="1">
      <c r="A577" s="76">
        <v>17</v>
      </c>
      <c r="B577" s="28" t="s">
        <v>268</v>
      </c>
      <c r="C577" s="24" t="s">
        <v>123</v>
      </c>
      <c r="D577" s="24" t="s">
        <v>1074</v>
      </c>
      <c r="E577" s="107" t="s">
        <v>1075</v>
      </c>
      <c r="F577" s="46" t="s">
        <v>20</v>
      </c>
      <c r="G577" s="62">
        <v>24040</v>
      </c>
      <c r="H577" s="112" t="s">
        <v>1047</v>
      </c>
      <c r="I577" s="63" t="s">
        <v>22</v>
      </c>
      <c r="J577" s="26" t="s">
        <v>62</v>
      </c>
      <c r="K577" s="100">
        <v>40507</v>
      </c>
      <c r="L577" s="100">
        <v>40507</v>
      </c>
      <c r="M577" s="65" t="s">
        <v>1076</v>
      </c>
      <c r="N577" s="65" t="s">
        <v>1051</v>
      </c>
    </row>
    <row r="578" spans="1:14" s="344" customFormat="1" ht="24.95" customHeight="1">
      <c r="A578" s="76">
        <v>18</v>
      </c>
      <c r="B578" s="28" t="s">
        <v>278</v>
      </c>
      <c r="C578" s="24" t="s">
        <v>279</v>
      </c>
      <c r="D578" s="24" t="s">
        <v>1077</v>
      </c>
      <c r="E578" s="26" t="s">
        <v>1078</v>
      </c>
      <c r="F578" s="46" t="s">
        <v>20</v>
      </c>
      <c r="G578" s="48">
        <v>24335</v>
      </c>
      <c r="H578" s="73" t="s">
        <v>1047</v>
      </c>
      <c r="I578" s="63" t="s">
        <v>22</v>
      </c>
      <c r="J578" s="26" t="s">
        <v>70</v>
      </c>
      <c r="K578" s="64">
        <v>35719</v>
      </c>
      <c r="L578" s="64">
        <v>42795</v>
      </c>
      <c r="M578" s="65" t="s">
        <v>1056</v>
      </c>
      <c r="N578" s="65" t="s">
        <v>1057</v>
      </c>
    </row>
    <row r="579" spans="1:14" s="344" customFormat="1" ht="24.95" customHeight="1">
      <c r="A579" s="76">
        <v>19</v>
      </c>
      <c r="B579" s="28" t="s">
        <v>305</v>
      </c>
      <c r="C579" s="24" t="s">
        <v>287</v>
      </c>
      <c r="D579" s="24" t="s">
        <v>1079</v>
      </c>
      <c r="E579" s="26" t="s">
        <v>1080</v>
      </c>
      <c r="F579" s="46" t="s">
        <v>20</v>
      </c>
      <c r="G579" s="48">
        <v>27098</v>
      </c>
      <c r="H579" s="73" t="s">
        <v>1047</v>
      </c>
      <c r="I579" s="63" t="s">
        <v>22</v>
      </c>
      <c r="J579" s="26" t="s">
        <v>70</v>
      </c>
      <c r="K579" s="64">
        <v>41000</v>
      </c>
      <c r="L579" s="64">
        <v>41000</v>
      </c>
      <c r="M579" s="65">
        <v>45839</v>
      </c>
      <c r="N579" s="65">
        <v>47664</v>
      </c>
    </row>
    <row r="580" spans="1:14" s="344" customFormat="1" ht="24.95" customHeight="1">
      <c r="A580" s="76"/>
      <c r="B580" s="28" t="s">
        <v>305</v>
      </c>
      <c r="C580" s="24" t="s">
        <v>287</v>
      </c>
      <c r="D580" s="84" t="s">
        <v>1081</v>
      </c>
      <c r="E580" s="228" t="s">
        <v>987</v>
      </c>
      <c r="F580" s="46" t="s">
        <v>20</v>
      </c>
      <c r="G580" s="48">
        <v>34668</v>
      </c>
      <c r="H580" s="73" t="s">
        <v>1047</v>
      </c>
      <c r="I580" s="63" t="s">
        <v>22</v>
      </c>
      <c r="J580" s="26" t="s">
        <v>70</v>
      </c>
      <c r="K580" s="64">
        <v>43738</v>
      </c>
      <c r="L580" s="64">
        <v>43738</v>
      </c>
      <c r="M580" s="65">
        <v>45839</v>
      </c>
      <c r="N580" s="65">
        <v>47664</v>
      </c>
    </row>
    <row r="581" spans="1:14" s="344" customFormat="1" ht="24.95" customHeight="1">
      <c r="A581" s="76"/>
      <c r="B581" s="28" t="s">
        <v>305</v>
      </c>
      <c r="C581" s="24" t="s">
        <v>287</v>
      </c>
      <c r="D581" s="24" t="s">
        <v>1082</v>
      </c>
      <c r="E581" s="26" t="s">
        <v>1083</v>
      </c>
      <c r="F581" s="46" t="s">
        <v>20</v>
      </c>
      <c r="G581" s="48">
        <v>32632</v>
      </c>
      <c r="H581" s="73" t="s">
        <v>1047</v>
      </c>
      <c r="I581" s="63" t="s">
        <v>22</v>
      </c>
      <c r="J581" s="26" t="s">
        <v>70</v>
      </c>
      <c r="K581" s="64">
        <v>42740</v>
      </c>
      <c r="L581" s="64">
        <v>42740</v>
      </c>
      <c r="M581" s="62" t="s">
        <v>1050</v>
      </c>
      <c r="N581" s="62" t="s">
        <v>1051</v>
      </c>
    </row>
    <row r="582" spans="1:14" s="3" customFormat="1" ht="24.95" customHeight="1">
      <c r="A582" s="76"/>
      <c r="B582" s="128" t="s">
        <v>1789</v>
      </c>
      <c r="C582" s="24"/>
      <c r="D582" s="129"/>
      <c r="F582" s="46"/>
      <c r="G582" s="48"/>
      <c r="H582" s="73"/>
      <c r="I582" s="63"/>
      <c r="J582" s="26"/>
      <c r="K582" s="53"/>
      <c r="L582" s="53"/>
      <c r="M582" s="54"/>
      <c r="N582" s="54"/>
    </row>
    <row r="583" spans="1:14" s="3" customFormat="1" ht="24.95" customHeight="1">
      <c r="A583" s="83"/>
      <c r="B583" s="128" t="s">
        <v>1084</v>
      </c>
      <c r="C583" s="31"/>
      <c r="D583" s="225" t="s">
        <v>52</v>
      </c>
      <c r="E583" s="49"/>
      <c r="F583" s="26"/>
      <c r="G583" s="43"/>
      <c r="H583" s="51"/>
      <c r="I583" s="52"/>
      <c r="J583" s="26"/>
      <c r="K583" s="95"/>
      <c r="L583" s="95"/>
      <c r="M583" s="95"/>
      <c r="N583" s="95"/>
    </row>
    <row r="584" spans="1:14" s="344" customFormat="1" ht="24.95" customHeight="1">
      <c r="A584" s="24">
        <v>3</v>
      </c>
      <c r="B584" s="28" t="s">
        <v>262</v>
      </c>
      <c r="C584" s="24" t="s">
        <v>59</v>
      </c>
      <c r="D584" s="24" t="s">
        <v>1085</v>
      </c>
      <c r="E584" s="26" t="s">
        <v>1086</v>
      </c>
      <c r="F584" s="46" t="s">
        <v>20</v>
      </c>
      <c r="G584" s="48">
        <v>29120</v>
      </c>
      <c r="H584" s="73" t="s">
        <v>1047</v>
      </c>
      <c r="I584" s="63" t="s">
        <v>22</v>
      </c>
      <c r="J584" s="26" t="s">
        <v>62</v>
      </c>
      <c r="K584" s="64">
        <v>42705</v>
      </c>
      <c r="L584" s="64">
        <v>44743</v>
      </c>
      <c r="M584" s="62">
        <v>45108</v>
      </c>
      <c r="N584" s="62" t="s">
        <v>927</v>
      </c>
    </row>
    <row r="585" spans="1:14" s="344" customFormat="1" ht="24.95" customHeight="1">
      <c r="A585" s="24"/>
      <c r="B585" s="28" t="s">
        <v>320</v>
      </c>
      <c r="C585" s="24" t="s">
        <v>129</v>
      </c>
      <c r="D585" s="28" t="s">
        <v>1087</v>
      </c>
      <c r="E585" s="26" t="s">
        <v>1088</v>
      </c>
      <c r="F585" s="46" t="s">
        <v>20</v>
      </c>
      <c r="G585" s="48">
        <v>29946</v>
      </c>
      <c r="H585" s="73" t="s">
        <v>1047</v>
      </c>
      <c r="I585" s="63" t="s">
        <v>22</v>
      </c>
      <c r="J585" s="26" t="s">
        <v>62</v>
      </c>
      <c r="K585" s="64">
        <v>41295</v>
      </c>
      <c r="L585" s="64">
        <v>44228</v>
      </c>
      <c r="M585" s="62" t="s">
        <v>1050</v>
      </c>
      <c r="N585" s="62" t="s">
        <v>1051</v>
      </c>
    </row>
    <row r="586" spans="1:14" s="344" customFormat="1" ht="24.95" customHeight="1">
      <c r="A586" s="24">
        <v>4</v>
      </c>
      <c r="B586" s="28" t="s">
        <v>326</v>
      </c>
      <c r="C586" s="24" t="s">
        <v>123</v>
      </c>
      <c r="D586" s="24" t="s">
        <v>1412</v>
      </c>
      <c r="E586" s="256" t="s">
        <v>1413</v>
      </c>
      <c r="F586" s="46" t="s">
        <v>20</v>
      </c>
      <c r="G586" s="48">
        <v>27469</v>
      </c>
      <c r="H586" s="73" t="s">
        <v>1047</v>
      </c>
      <c r="I586" s="63" t="s">
        <v>22</v>
      </c>
      <c r="J586" s="26" t="s">
        <v>62</v>
      </c>
      <c r="K586" s="64">
        <v>40507</v>
      </c>
      <c r="L586" s="64">
        <v>45108</v>
      </c>
      <c r="M586" s="98">
        <v>46934</v>
      </c>
      <c r="N586" s="98" t="s">
        <v>551</v>
      </c>
    </row>
    <row r="587" spans="1:14" s="344" customFormat="1" ht="24.95" customHeight="1">
      <c r="A587" s="24"/>
      <c r="B587" s="28" t="s">
        <v>326</v>
      </c>
      <c r="C587" s="24" t="s">
        <v>123</v>
      </c>
      <c r="D587" s="24" t="s">
        <v>1089</v>
      </c>
      <c r="E587" s="26" t="s">
        <v>1090</v>
      </c>
      <c r="F587" s="46" t="s">
        <v>20</v>
      </c>
      <c r="G587" s="48">
        <v>24071</v>
      </c>
      <c r="H587" s="112" t="s">
        <v>1047</v>
      </c>
      <c r="I587" s="63" t="s">
        <v>22</v>
      </c>
      <c r="J587" s="26" t="s">
        <v>62</v>
      </c>
      <c r="K587" s="64">
        <v>34335</v>
      </c>
      <c r="L587" s="64">
        <v>35247</v>
      </c>
      <c r="M587" s="62" t="s">
        <v>1050</v>
      </c>
      <c r="N587" s="62" t="s">
        <v>1051</v>
      </c>
    </row>
    <row r="588" spans="1:14" s="3" customFormat="1" ht="24.95" customHeight="1">
      <c r="A588" s="24"/>
      <c r="B588" s="128" t="s">
        <v>1789</v>
      </c>
      <c r="C588" s="24"/>
      <c r="D588" s="129"/>
      <c r="E588" s="26"/>
      <c r="F588" s="46"/>
      <c r="G588" s="48"/>
      <c r="H588" s="73"/>
      <c r="I588" s="63"/>
      <c r="J588" s="26"/>
      <c r="K588" s="53"/>
      <c r="L588" s="53"/>
      <c r="M588" s="54"/>
      <c r="N588" s="54"/>
    </row>
    <row r="589" spans="1:14" s="3" customFormat="1" ht="24.95" customHeight="1">
      <c r="A589" s="24">
        <v>8</v>
      </c>
      <c r="B589" s="128" t="s">
        <v>1091</v>
      </c>
      <c r="C589" s="31"/>
      <c r="D589" s="225" t="s">
        <v>52</v>
      </c>
      <c r="E589" s="49"/>
      <c r="F589" s="26"/>
      <c r="G589" s="43"/>
      <c r="H589" s="51"/>
      <c r="I589" s="52"/>
      <c r="J589" s="26"/>
      <c r="K589" s="64">
        <v>41022</v>
      </c>
      <c r="L589" s="64">
        <v>44743</v>
      </c>
      <c r="M589" s="62" t="s">
        <v>1050</v>
      </c>
      <c r="N589" s="62" t="s">
        <v>1051</v>
      </c>
    </row>
    <row r="590" spans="1:14" s="344" customFormat="1" ht="24.95" customHeight="1">
      <c r="A590" s="24"/>
      <c r="B590" s="28" t="s">
        <v>1092</v>
      </c>
      <c r="C590" s="24" t="s">
        <v>59</v>
      </c>
      <c r="D590" s="24" t="s">
        <v>1093</v>
      </c>
      <c r="E590" s="26" t="s">
        <v>1094</v>
      </c>
      <c r="F590" s="46" t="s">
        <v>20</v>
      </c>
      <c r="G590" s="48">
        <v>26743</v>
      </c>
      <c r="H590" s="73" t="s">
        <v>1047</v>
      </c>
      <c r="I590" s="63" t="s">
        <v>22</v>
      </c>
      <c r="J590" s="26" t="s">
        <v>62</v>
      </c>
      <c r="K590" s="64">
        <v>34335</v>
      </c>
      <c r="L590" s="64">
        <v>44105</v>
      </c>
      <c r="M590" s="62">
        <v>45839</v>
      </c>
      <c r="N590" s="62">
        <v>47664</v>
      </c>
    </row>
    <row r="591" spans="1:14" s="344" customFormat="1" ht="24.95" customHeight="1">
      <c r="A591" s="487"/>
      <c r="B591" s="28" t="s">
        <v>263</v>
      </c>
      <c r="C591" s="24" t="s">
        <v>129</v>
      </c>
      <c r="D591" s="24" t="s">
        <v>1095</v>
      </c>
      <c r="E591" s="26" t="s">
        <v>1096</v>
      </c>
      <c r="F591" s="46" t="s">
        <v>20</v>
      </c>
      <c r="G591" s="48">
        <v>23743</v>
      </c>
      <c r="H591" s="73" t="s">
        <v>1047</v>
      </c>
      <c r="I591" s="63" t="s">
        <v>22</v>
      </c>
      <c r="J591" s="26" t="s">
        <v>62</v>
      </c>
      <c r="K591" s="64">
        <v>41022</v>
      </c>
      <c r="L591" s="64">
        <v>43922</v>
      </c>
      <c r="M591" s="62" t="s">
        <v>1050</v>
      </c>
      <c r="N591" s="62" t="s">
        <v>1051</v>
      </c>
    </row>
    <row r="592" spans="1:14" s="344" customFormat="1" ht="24.95" customHeight="1">
      <c r="A592" s="222"/>
      <c r="B592" s="28" t="s">
        <v>268</v>
      </c>
      <c r="C592" s="24" t="s">
        <v>123</v>
      </c>
      <c r="D592" s="24" t="s">
        <v>1097</v>
      </c>
      <c r="E592" s="26" t="s">
        <v>1098</v>
      </c>
      <c r="F592" s="46" t="s">
        <v>20</v>
      </c>
      <c r="G592" s="48">
        <v>30631</v>
      </c>
      <c r="H592" s="73" t="s">
        <v>1047</v>
      </c>
      <c r="I592" s="63" t="s">
        <v>22</v>
      </c>
      <c r="J592" s="26" t="s">
        <v>62</v>
      </c>
      <c r="K592" s="64">
        <v>34335</v>
      </c>
      <c r="L592" s="64">
        <v>34335</v>
      </c>
      <c r="M592" s="62" t="s">
        <v>1050</v>
      </c>
      <c r="N592" s="62" t="s">
        <v>1051</v>
      </c>
    </row>
    <row r="593" spans="1:14" s="344" customFormat="1" ht="24.95" customHeight="1">
      <c r="A593" s="24"/>
      <c r="B593" s="28"/>
      <c r="C593" s="24" t="s">
        <v>123</v>
      </c>
      <c r="D593" s="24" t="s">
        <v>1099</v>
      </c>
      <c r="E593" s="26" t="s">
        <v>1100</v>
      </c>
      <c r="F593" s="46" t="s">
        <v>29</v>
      </c>
      <c r="G593" s="48">
        <v>28766</v>
      </c>
      <c r="H593" s="73" t="s">
        <v>1047</v>
      </c>
      <c r="I593" s="63" t="s">
        <v>22</v>
      </c>
      <c r="J593" s="26" t="s">
        <v>62</v>
      </c>
      <c r="K593" s="64">
        <v>34335</v>
      </c>
      <c r="L593" s="64">
        <v>42795</v>
      </c>
      <c r="M593" s="62" t="s">
        <v>1050</v>
      </c>
      <c r="N593" s="62" t="s">
        <v>1051</v>
      </c>
    </row>
    <row r="594" spans="1:14" s="344" customFormat="1" ht="24.95" customHeight="1">
      <c r="A594" s="24">
        <v>2</v>
      </c>
      <c r="B594" s="28" t="s">
        <v>314</v>
      </c>
      <c r="C594" s="24" t="s">
        <v>67</v>
      </c>
      <c r="D594" s="84" t="s">
        <v>1101</v>
      </c>
      <c r="E594" s="26" t="s">
        <v>1102</v>
      </c>
      <c r="F594" s="46" t="s">
        <v>20</v>
      </c>
      <c r="G594" s="48">
        <v>24897</v>
      </c>
      <c r="H594" s="73" t="s">
        <v>1047</v>
      </c>
      <c r="I594" s="63" t="s">
        <v>22</v>
      </c>
      <c r="J594" s="26" t="s">
        <v>70</v>
      </c>
      <c r="K594" s="53"/>
      <c r="L594" s="53"/>
      <c r="M594" s="62" t="s">
        <v>1050</v>
      </c>
      <c r="N594" s="62" t="s">
        <v>1051</v>
      </c>
    </row>
    <row r="595" spans="1:14" s="344" customFormat="1" ht="24.95" customHeight="1">
      <c r="A595" s="24"/>
      <c r="B595" s="28" t="s">
        <v>286</v>
      </c>
      <c r="C595" s="24" t="s">
        <v>287</v>
      </c>
      <c r="D595" s="24" t="s">
        <v>1103</v>
      </c>
      <c r="E595" s="26" t="s">
        <v>1104</v>
      </c>
      <c r="F595" s="46" t="s">
        <v>20</v>
      </c>
      <c r="G595" s="48">
        <v>30807</v>
      </c>
      <c r="H595" s="73" t="s">
        <v>1047</v>
      </c>
      <c r="I595" s="63" t="s">
        <v>22</v>
      </c>
      <c r="J595" s="26" t="s">
        <v>70</v>
      </c>
      <c r="K595" s="64">
        <v>41000</v>
      </c>
      <c r="L595" s="64">
        <v>41000</v>
      </c>
      <c r="M595" s="65">
        <v>45839</v>
      </c>
      <c r="N595" s="65">
        <v>47664</v>
      </c>
    </row>
    <row r="596" spans="1:14" s="344" customFormat="1" ht="24.95" customHeight="1">
      <c r="A596" s="24">
        <v>4</v>
      </c>
      <c r="B596" s="28" t="s">
        <v>286</v>
      </c>
      <c r="C596" s="24" t="s">
        <v>287</v>
      </c>
      <c r="D596" s="24" t="s">
        <v>1105</v>
      </c>
      <c r="E596" s="46" t="s">
        <v>1106</v>
      </c>
      <c r="F596" s="46" t="s">
        <v>20</v>
      </c>
      <c r="G596" s="235">
        <v>31292</v>
      </c>
      <c r="H596" s="112" t="s">
        <v>1047</v>
      </c>
      <c r="I596" s="63" t="s">
        <v>22</v>
      </c>
      <c r="J596" s="26" t="s">
        <v>70</v>
      </c>
      <c r="K596" s="100">
        <v>43903</v>
      </c>
      <c r="L596" s="100">
        <v>43903</v>
      </c>
      <c r="M596" s="65">
        <v>45839</v>
      </c>
      <c r="N596" s="65">
        <v>47664</v>
      </c>
    </row>
    <row r="597" spans="1:14" s="344" customFormat="1" ht="24.95" customHeight="1">
      <c r="A597" s="24">
        <v>5</v>
      </c>
      <c r="B597" s="28" t="s">
        <v>286</v>
      </c>
      <c r="C597" s="24" t="s">
        <v>287</v>
      </c>
      <c r="D597" s="24" t="s">
        <v>1107</v>
      </c>
      <c r="E597" s="26" t="s">
        <v>1108</v>
      </c>
      <c r="F597" s="46" t="s">
        <v>20</v>
      </c>
      <c r="G597" s="48">
        <v>27203</v>
      </c>
      <c r="H597" s="73" t="s">
        <v>1047</v>
      </c>
      <c r="I597" s="63" t="s">
        <v>22</v>
      </c>
      <c r="J597" s="26" t="s">
        <v>70</v>
      </c>
      <c r="K597" s="64">
        <v>35719</v>
      </c>
      <c r="L597" s="64">
        <v>35719</v>
      </c>
      <c r="M597" s="62" t="s">
        <v>1050</v>
      </c>
      <c r="N597" s="62" t="s">
        <v>1051</v>
      </c>
    </row>
    <row r="598" spans="1:14" s="3" customFormat="1" ht="24.95" customHeight="1">
      <c r="A598" s="24"/>
      <c r="B598" s="28" t="s">
        <v>1789</v>
      </c>
      <c r="C598" s="76"/>
      <c r="D598" s="35"/>
      <c r="E598" s="35"/>
      <c r="F598" s="35"/>
      <c r="G598" s="47"/>
      <c r="H598" s="215"/>
      <c r="I598" s="35"/>
      <c r="J598" s="35"/>
      <c r="K598" s="53"/>
      <c r="L598" s="53"/>
      <c r="M598" s="54"/>
      <c r="N598" s="54"/>
    </row>
    <row r="599" spans="1:14" s="3" customFormat="1" ht="24.95" customHeight="1">
      <c r="A599" s="24">
        <v>6</v>
      </c>
      <c r="B599" s="31" t="s">
        <v>1109</v>
      </c>
      <c r="C599" s="31"/>
      <c r="D599" s="225" t="s">
        <v>52</v>
      </c>
      <c r="E599" s="49"/>
      <c r="F599" s="26"/>
      <c r="G599" s="43"/>
      <c r="H599" s="51"/>
      <c r="I599" s="52"/>
      <c r="J599" s="26"/>
      <c r="K599" s="53"/>
      <c r="L599" s="53"/>
      <c r="M599" s="54"/>
      <c r="N599" s="54"/>
    </row>
    <row r="600" spans="1:14" s="344" customFormat="1" ht="24.95" customHeight="1">
      <c r="A600" s="24">
        <v>7</v>
      </c>
      <c r="B600" s="28" t="s">
        <v>320</v>
      </c>
      <c r="C600" s="24" t="s">
        <v>129</v>
      </c>
      <c r="D600" s="24" t="s">
        <v>1110</v>
      </c>
      <c r="E600" s="26" t="s">
        <v>1111</v>
      </c>
      <c r="F600" s="46" t="s">
        <v>20</v>
      </c>
      <c r="G600" s="48">
        <v>27531</v>
      </c>
      <c r="H600" s="73" t="s">
        <v>1047</v>
      </c>
      <c r="I600" s="63" t="s">
        <v>22</v>
      </c>
      <c r="J600" s="26" t="s">
        <v>62</v>
      </c>
      <c r="K600" s="64">
        <v>42095</v>
      </c>
      <c r="L600" s="64">
        <v>44621</v>
      </c>
      <c r="M600" s="214">
        <v>45474</v>
      </c>
      <c r="N600" s="65">
        <v>47299</v>
      </c>
    </row>
    <row r="601" spans="1:14" s="344" customFormat="1" ht="24.95" customHeight="1">
      <c r="A601" s="24"/>
      <c r="B601" s="28" t="s">
        <v>346</v>
      </c>
      <c r="C601" s="24" t="s">
        <v>123</v>
      </c>
      <c r="D601" s="24" t="s">
        <v>1112</v>
      </c>
      <c r="E601" s="263" t="s">
        <v>1113</v>
      </c>
      <c r="F601" s="46" t="s">
        <v>20</v>
      </c>
      <c r="G601" s="48">
        <v>31274</v>
      </c>
      <c r="H601" s="73" t="s">
        <v>1047</v>
      </c>
      <c r="I601" s="63" t="s">
        <v>22</v>
      </c>
      <c r="J601" s="26" t="s">
        <v>70</v>
      </c>
      <c r="K601" s="64">
        <v>43678</v>
      </c>
      <c r="L601" s="64">
        <v>45392</v>
      </c>
      <c r="M601" s="64">
        <v>45392</v>
      </c>
      <c r="N601" s="62">
        <v>47216</v>
      </c>
    </row>
    <row r="602" spans="1:14" s="344" customFormat="1" ht="24.95" customHeight="1">
      <c r="A602" s="24"/>
      <c r="B602" s="28" t="s">
        <v>357</v>
      </c>
      <c r="C602" s="24" t="s">
        <v>287</v>
      </c>
      <c r="D602" s="24" t="s">
        <v>1114</v>
      </c>
      <c r="E602" s="107" t="s">
        <v>1115</v>
      </c>
      <c r="F602" s="46" t="s">
        <v>20</v>
      </c>
      <c r="G602" s="48">
        <v>27344</v>
      </c>
      <c r="H602" s="73" t="s">
        <v>1047</v>
      </c>
      <c r="I602" s="63" t="s">
        <v>22</v>
      </c>
      <c r="J602" s="26" t="s">
        <v>70</v>
      </c>
      <c r="K602" s="64">
        <v>39995</v>
      </c>
      <c r="L602" s="64">
        <v>39995</v>
      </c>
      <c r="M602" s="62" t="s">
        <v>1050</v>
      </c>
      <c r="N602" s="62" t="s">
        <v>1051</v>
      </c>
    </row>
    <row r="603" spans="1:14" s="3" customFormat="1" ht="24.95" customHeight="1">
      <c r="A603" s="24"/>
      <c r="B603" s="28" t="s">
        <v>1789</v>
      </c>
      <c r="C603" s="229"/>
      <c r="E603" s="35"/>
      <c r="F603" s="35"/>
      <c r="G603" s="35"/>
      <c r="H603" s="35"/>
      <c r="I603" s="35"/>
      <c r="J603" s="35"/>
      <c r="K603" s="100"/>
      <c r="L603" s="100"/>
      <c r="M603" s="62"/>
      <c r="N603" s="62"/>
    </row>
    <row r="604" spans="1:14" s="3" customFormat="1" ht="24.95" customHeight="1">
      <c r="A604" s="24"/>
      <c r="B604" s="31" t="s">
        <v>363</v>
      </c>
      <c r="C604" s="119"/>
      <c r="D604" s="35"/>
      <c r="E604" s="35"/>
      <c r="F604" s="35"/>
      <c r="G604" s="47"/>
      <c r="H604" s="35"/>
      <c r="I604" s="35"/>
      <c r="J604" s="35"/>
      <c r="K604" s="53"/>
      <c r="L604" s="53"/>
      <c r="M604" s="54"/>
      <c r="N604" s="54"/>
    </row>
    <row r="605" spans="1:14" s="3" customFormat="1" ht="24.95" customHeight="1">
      <c r="A605" s="24">
        <v>2</v>
      </c>
      <c r="B605" s="31" t="s">
        <v>529</v>
      </c>
      <c r="C605" s="230"/>
      <c r="D605" s="128"/>
      <c r="E605" s="49"/>
      <c r="F605" s="26"/>
      <c r="G605" s="43"/>
      <c r="H605" s="52"/>
      <c r="I605" s="52"/>
      <c r="J605" s="26"/>
      <c r="K605" s="35"/>
      <c r="L605" s="35"/>
      <c r="M605" s="35"/>
      <c r="N605" s="35"/>
    </row>
    <row r="606" spans="1:14" s="344" customFormat="1" ht="24.95" customHeight="1">
      <c r="A606" s="24">
        <v>3</v>
      </c>
      <c r="B606" s="24" t="s">
        <v>365</v>
      </c>
      <c r="C606" s="24" t="s">
        <v>55</v>
      </c>
      <c r="D606" s="24" t="s">
        <v>1116</v>
      </c>
      <c r="E606" s="26" t="s">
        <v>1117</v>
      </c>
      <c r="F606" s="46" t="s">
        <v>20</v>
      </c>
      <c r="G606" s="48">
        <v>28038</v>
      </c>
      <c r="H606" s="73" t="s">
        <v>1047</v>
      </c>
      <c r="I606" s="63" t="s">
        <v>22</v>
      </c>
      <c r="J606" s="26" t="s">
        <v>23</v>
      </c>
      <c r="K606" s="64">
        <v>38720</v>
      </c>
      <c r="L606" s="64">
        <v>45490</v>
      </c>
      <c r="M606" s="62">
        <v>45505</v>
      </c>
      <c r="N606" s="62">
        <v>47330</v>
      </c>
    </row>
    <row r="607" spans="1:14" s="3" customFormat="1" ht="24.95" customHeight="1">
      <c r="A607" s="24">
        <v>4</v>
      </c>
      <c r="B607" s="24" t="s">
        <v>205</v>
      </c>
      <c r="C607" s="27" t="s">
        <v>35</v>
      </c>
      <c r="D607" s="84" t="s">
        <v>1118</v>
      </c>
      <c r="E607" s="96" t="s">
        <v>1119</v>
      </c>
      <c r="F607" s="46" t="s">
        <v>20</v>
      </c>
      <c r="G607" s="48">
        <v>24525</v>
      </c>
      <c r="H607" s="73" t="s">
        <v>1047</v>
      </c>
      <c r="I607" s="63" t="s">
        <v>22</v>
      </c>
      <c r="J607" s="26" t="s">
        <v>30</v>
      </c>
      <c r="K607" s="64">
        <v>34386</v>
      </c>
      <c r="L607" s="64">
        <v>39965</v>
      </c>
      <c r="M607" s="65">
        <v>45108</v>
      </c>
      <c r="N607" s="65">
        <v>46440</v>
      </c>
    </row>
    <row r="608" spans="1:14" s="344" customFormat="1" ht="24.95" customHeight="1">
      <c r="A608" s="24"/>
      <c r="B608" s="24" t="s">
        <v>190</v>
      </c>
      <c r="C608" s="27" t="s">
        <v>35</v>
      </c>
      <c r="D608" s="24" t="s">
        <v>1621</v>
      </c>
      <c r="E608" s="27" t="s">
        <v>1622</v>
      </c>
      <c r="F608" s="86" t="s">
        <v>29</v>
      </c>
      <c r="G608" s="88">
        <v>29158</v>
      </c>
      <c r="H608" s="73" t="s">
        <v>1047</v>
      </c>
      <c r="I608" s="97" t="s">
        <v>22</v>
      </c>
      <c r="J608" s="27" t="s">
        <v>30</v>
      </c>
      <c r="K608" s="88">
        <v>40476</v>
      </c>
      <c r="L608" s="88">
        <v>45595</v>
      </c>
      <c r="M608" s="98">
        <v>45108</v>
      </c>
      <c r="N608" s="98">
        <v>46934</v>
      </c>
    </row>
    <row r="609" spans="1:14" s="344" customFormat="1" ht="24.95" customHeight="1">
      <c r="A609" s="24"/>
      <c r="B609" s="24" t="s">
        <v>236</v>
      </c>
      <c r="C609" s="224" t="s">
        <v>35</v>
      </c>
      <c r="D609" s="24" t="s">
        <v>1124</v>
      </c>
      <c r="E609" s="26" t="s">
        <v>1125</v>
      </c>
      <c r="F609" s="26" t="s">
        <v>20</v>
      </c>
      <c r="G609" s="43">
        <v>26625</v>
      </c>
      <c r="H609" s="73" t="s">
        <v>1047</v>
      </c>
      <c r="I609" s="52" t="s">
        <v>22</v>
      </c>
      <c r="J609" s="26" t="s">
        <v>30</v>
      </c>
      <c r="K609" s="53">
        <v>35690</v>
      </c>
      <c r="L609" s="53">
        <v>41214</v>
      </c>
      <c r="M609" s="72">
        <v>45108</v>
      </c>
      <c r="N609" s="72">
        <v>46934</v>
      </c>
    </row>
    <row r="610" spans="1:14" s="344" customFormat="1" ht="24.95" customHeight="1">
      <c r="A610" s="24"/>
      <c r="B610" s="24" t="s">
        <v>38</v>
      </c>
      <c r="C610" s="224" t="s">
        <v>39</v>
      </c>
      <c r="D610" s="24" t="s">
        <v>1127</v>
      </c>
      <c r="E610" s="26" t="s">
        <v>1128</v>
      </c>
      <c r="F610" s="46" t="s">
        <v>29</v>
      </c>
      <c r="G610" s="48">
        <v>25928</v>
      </c>
      <c r="H610" s="73" t="s">
        <v>1047</v>
      </c>
      <c r="I610" s="63" t="s">
        <v>22</v>
      </c>
      <c r="J610" s="26" t="s">
        <v>30</v>
      </c>
      <c r="K610" s="64">
        <v>34468</v>
      </c>
      <c r="L610" s="64">
        <v>42795</v>
      </c>
      <c r="M610" s="62" t="s">
        <v>1050</v>
      </c>
      <c r="N610" s="62" t="s">
        <v>1051</v>
      </c>
    </row>
    <row r="611" spans="1:14" s="344" customFormat="1" ht="24.95" customHeight="1">
      <c r="A611" s="24">
        <v>2</v>
      </c>
      <c r="B611" s="24" t="s">
        <v>173</v>
      </c>
      <c r="C611" s="224" t="s">
        <v>67</v>
      </c>
      <c r="D611" s="24" t="s">
        <v>1129</v>
      </c>
      <c r="E611" s="26" t="s">
        <v>1130</v>
      </c>
      <c r="F611" s="46" t="s">
        <v>20</v>
      </c>
      <c r="G611" s="48">
        <v>30302</v>
      </c>
      <c r="H611" s="73" t="s">
        <v>1047</v>
      </c>
      <c r="I611" s="63" t="s">
        <v>22</v>
      </c>
      <c r="J611" s="26" t="s">
        <v>30</v>
      </c>
      <c r="K611" s="64">
        <v>41000</v>
      </c>
      <c r="L611" s="64">
        <v>41000</v>
      </c>
      <c r="M611" s="65">
        <v>45839</v>
      </c>
      <c r="N611" s="65">
        <v>47664</v>
      </c>
    </row>
    <row r="612" spans="1:14" s="344" customFormat="1" ht="24.95" customHeight="1">
      <c r="A612" s="24">
        <v>3</v>
      </c>
      <c r="B612" s="24" t="s">
        <v>40</v>
      </c>
      <c r="C612" s="224" t="s">
        <v>41</v>
      </c>
      <c r="D612" s="27" t="s">
        <v>1259</v>
      </c>
      <c r="E612" s="107" t="s">
        <v>1260</v>
      </c>
      <c r="F612" s="46" t="s">
        <v>29</v>
      </c>
      <c r="G612" s="48">
        <v>27611</v>
      </c>
      <c r="H612" s="73" t="s">
        <v>1047</v>
      </c>
      <c r="I612" s="63" t="s">
        <v>22</v>
      </c>
      <c r="J612" s="26" t="s">
        <v>30</v>
      </c>
      <c r="K612" s="64">
        <v>39349</v>
      </c>
      <c r="L612" s="64">
        <v>42795</v>
      </c>
      <c r="M612" s="65">
        <v>45474</v>
      </c>
      <c r="N612" s="65">
        <v>47299</v>
      </c>
    </row>
    <row r="613" spans="1:14" s="344" customFormat="1" ht="24.95" customHeight="1">
      <c r="A613" s="24">
        <v>4</v>
      </c>
      <c r="B613" s="24" t="s">
        <v>221</v>
      </c>
      <c r="C613" s="224" t="s">
        <v>41</v>
      </c>
      <c r="D613" s="24" t="s">
        <v>1133</v>
      </c>
      <c r="E613" s="26" t="s">
        <v>1134</v>
      </c>
      <c r="F613" s="46" t="s">
        <v>20</v>
      </c>
      <c r="G613" s="48">
        <v>24378</v>
      </c>
      <c r="H613" s="73" t="s">
        <v>1047</v>
      </c>
      <c r="I613" s="63" t="s">
        <v>22</v>
      </c>
      <c r="J613" s="26" t="s">
        <v>30</v>
      </c>
      <c r="K613" s="64">
        <v>37649</v>
      </c>
      <c r="L613" s="64">
        <v>44105</v>
      </c>
      <c r="M613" s="65">
        <v>45474</v>
      </c>
      <c r="N613" s="65" t="s">
        <v>1135</v>
      </c>
    </row>
    <row r="614" spans="1:14" s="344" customFormat="1" ht="24.95" customHeight="1">
      <c r="A614" s="24"/>
      <c r="B614" s="24"/>
      <c r="C614" s="224" t="s">
        <v>41</v>
      </c>
      <c r="D614" s="24" t="s">
        <v>1136</v>
      </c>
      <c r="E614" s="26" t="s">
        <v>1137</v>
      </c>
      <c r="F614" s="46" t="s">
        <v>29</v>
      </c>
      <c r="G614" s="48">
        <v>28567</v>
      </c>
      <c r="H614" s="73" t="s">
        <v>1047</v>
      </c>
      <c r="I614" s="63" t="s">
        <v>22</v>
      </c>
      <c r="J614" s="26" t="s">
        <v>30</v>
      </c>
      <c r="K614" s="64">
        <v>39717</v>
      </c>
      <c r="L614" s="64">
        <v>45278</v>
      </c>
      <c r="M614" s="98">
        <v>45839</v>
      </c>
      <c r="N614" s="55">
        <v>47664</v>
      </c>
    </row>
    <row r="615" spans="1:14" s="344" customFormat="1" ht="24.95" customHeight="1">
      <c r="A615" s="24">
        <v>5</v>
      </c>
      <c r="B615" s="24" t="s">
        <v>83</v>
      </c>
      <c r="C615" s="224" t="s">
        <v>39</v>
      </c>
      <c r="D615" s="24" t="s">
        <v>1122</v>
      </c>
      <c r="E615" s="46" t="s">
        <v>1123</v>
      </c>
      <c r="F615" s="46" t="s">
        <v>20</v>
      </c>
      <c r="G615" s="48">
        <v>28765</v>
      </c>
      <c r="H615" s="73" t="s">
        <v>1047</v>
      </c>
      <c r="I615" s="63" t="s">
        <v>22</v>
      </c>
      <c r="J615" s="26" t="s">
        <v>30</v>
      </c>
      <c r="K615" s="64">
        <v>40476</v>
      </c>
      <c r="L615" s="64">
        <v>42917</v>
      </c>
      <c r="M615" s="62" t="s">
        <v>1050</v>
      </c>
      <c r="N615" s="62" t="s">
        <v>1051</v>
      </c>
    </row>
    <row r="616" spans="1:14" s="344" customFormat="1" ht="24.95" customHeight="1">
      <c r="A616" s="24">
        <v>7</v>
      </c>
      <c r="B616" s="24" t="s">
        <v>562</v>
      </c>
      <c r="C616" s="224" t="s">
        <v>85</v>
      </c>
      <c r="D616" s="24" t="s">
        <v>1138</v>
      </c>
      <c r="E616" s="46" t="s">
        <v>1139</v>
      </c>
      <c r="F616" s="46" t="s">
        <v>20</v>
      </c>
      <c r="G616" s="48">
        <v>30191</v>
      </c>
      <c r="H616" s="73" t="s">
        <v>1047</v>
      </c>
      <c r="I616" s="63" t="s">
        <v>22</v>
      </c>
      <c r="J616" s="26" t="s">
        <v>30</v>
      </c>
      <c r="K616" s="64">
        <v>43802</v>
      </c>
      <c r="L616" s="64">
        <v>43802</v>
      </c>
      <c r="M616" s="65">
        <v>45839</v>
      </c>
      <c r="N616" s="65">
        <v>47664</v>
      </c>
    </row>
    <row r="617" spans="1:14" s="3" customFormat="1" ht="24.95" customHeight="1">
      <c r="A617" s="24"/>
      <c r="B617" s="24" t="s">
        <v>248</v>
      </c>
      <c r="C617" s="224" t="s">
        <v>85</v>
      </c>
      <c r="D617" s="84" t="s">
        <v>887</v>
      </c>
      <c r="E617" s="262" t="s">
        <v>888</v>
      </c>
      <c r="F617" s="46" t="s">
        <v>20</v>
      </c>
      <c r="G617" s="48">
        <v>25224</v>
      </c>
      <c r="H617" s="73" t="s">
        <v>1047</v>
      </c>
      <c r="I617" s="63" t="s">
        <v>22</v>
      </c>
      <c r="J617" s="26" t="s">
        <v>50</v>
      </c>
      <c r="K617" s="64">
        <v>34911</v>
      </c>
      <c r="L617" s="64">
        <v>45490</v>
      </c>
      <c r="M617" s="286">
        <v>45078</v>
      </c>
      <c r="N617" s="55">
        <v>46773</v>
      </c>
    </row>
    <row r="618" spans="1:14" s="3" customFormat="1" ht="24.95" customHeight="1">
      <c r="A618" s="24"/>
      <c r="B618" s="24" t="s">
        <v>1777</v>
      </c>
      <c r="C618" s="224" t="s">
        <v>45</v>
      </c>
      <c r="D618" s="24" t="s">
        <v>1140</v>
      </c>
      <c r="E618" s="26" t="s">
        <v>1141</v>
      </c>
      <c r="F618" s="46" t="s">
        <v>20</v>
      </c>
      <c r="G618" s="48">
        <v>26100</v>
      </c>
      <c r="H618" s="73" t="s">
        <v>1047</v>
      </c>
      <c r="I618" s="63" t="s">
        <v>22</v>
      </c>
      <c r="J618" s="26" t="s">
        <v>50</v>
      </c>
      <c r="K618" s="64">
        <v>39780</v>
      </c>
      <c r="L618" s="64">
        <v>39780</v>
      </c>
      <c r="M618" s="62" t="s">
        <v>1050</v>
      </c>
      <c r="N618" s="62" t="s">
        <v>1051</v>
      </c>
    </row>
    <row r="619" spans="1:14" s="344" customFormat="1" ht="24.95" customHeight="1">
      <c r="A619" s="24"/>
      <c r="B619" s="24" t="s">
        <v>1777</v>
      </c>
      <c r="C619" s="224" t="s">
        <v>45</v>
      </c>
      <c r="D619" s="24" t="s">
        <v>1142</v>
      </c>
      <c r="E619" s="26" t="s">
        <v>1143</v>
      </c>
      <c r="F619" s="46" t="s">
        <v>20</v>
      </c>
      <c r="G619" s="48">
        <v>26733</v>
      </c>
      <c r="H619" s="73" t="s">
        <v>1047</v>
      </c>
      <c r="I619" s="63" t="s">
        <v>22</v>
      </c>
      <c r="J619" s="26" t="s">
        <v>50</v>
      </c>
      <c r="K619" s="64">
        <v>40584</v>
      </c>
      <c r="L619" s="64">
        <v>40584</v>
      </c>
      <c r="M619" s="62">
        <v>45839</v>
      </c>
      <c r="N619" s="62">
        <v>47664</v>
      </c>
    </row>
    <row r="620" spans="1:14" s="344" customFormat="1" ht="24.95" customHeight="1">
      <c r="A620" s="76"/>
      <c r="B620" s="24" t="s">
        <v>1777</v>
      </c>
      <c r="C620" s="224" t="s">
        <v>45</v>
      </c>
      <c r="D620" s="24" t="s">
        <v>1144</v>
      </c>
      <c r="E620" s="26" t="s">
        <v>1145</v>
      </c>
      <c r="F620" s="46" t="s">
        <v>20</v>
      </c>
      <c r="G620" s="48">
        <v>29538</v>
      </c>
      <c r="H620" s="73" t="s">
        <v>1047</v>
      </c>
      <c r="I620" s="63" t="s">
        <v>22</v>
      </c>
      <c r="J620" s="26" t="s">
        <v>50</v>
      </c>
      <c r="K620" s="64">
        <v>42737</v>
      </c>
      <c r="L620" s="64">
        <v>42737</v>
      </c>
      <c r="M620" s="62" t="s">
        <v>1050</v>
      </c>
      <c r="N620" s="62" t="s">
        <v>1051</v>
      </c>
    </row>
    <row r="621" spans="1:14" s="3" customFormat="1" ht="24.95" customHeight="1">
      <c r="A621" s="24">
        <v>1</v>
      </c>
      <c r="B621" s="24" t="s">
        <v>1777</v>
      </c>
      <c r="C621" s="224" t="s">
        <v>45</v>
      </c>
      <c r="D621" s="24" t="s">
        <v>1146</v>
      </c>
      <c r="E621" s="26" t="s">
        <v>1147</v>
      </c>
      <c r="F621" s="46" t="s">
        <v>20</v>
      </c>
      <c r="G621" s="48">
        <v>25212</v>
      </c>
      <c r="H621" s="73" t="s">
        <v>1047</v>
      </c>
      <c r="I621" s="63" t="s">
        <v>22</v>
      </c>
      <c r="J621" s="26" t="s">
        <v>50</v>
      </c>
      <c r="K621" s="64">
        <v>41094</v>
      </c>
      <c r="L621" s="64">
        <v>41094</v>
      </c>
      <c r="M621" s="214">
        <v>45839</v>
      </c>
      <c r="N621" s="65">
        <v>47132</v>
      </c>
    </row>
    <row r="622" spans="1:14" s="3" customFormat="1" ht="24.95" customHeight="1">
      <c r="A622" s="24">
        <v>2</v>
      </c>
      <c r="B622" s="24" t="s">
        <v>565</v>
      </c>
      <c r="C622" s="224" t="s">
        <v>47</v>
      </c>
      <c r="D622" s="24" t="s">
        <v>1148</v>
      </c>
      <c r="E622" s="26" t="s">
        <v>1149</v>
      </c>
      <c r="F622" s="46" t="s">
        <v>20</v>
      </c>
      <c r="G622" s="48">
        <v>29649</v>
      </c>
      <c r="H622" s="73" t="s">
        <v>1047</v>
      </c>
      <c r="I622" s="63" t="s">
        <v>22</v>
      </c>
      <c r="J622" s="26" t="s">
        <v>50</v>
      </c>
      <c r="K622" s="64">
        <v>42744</v>
      </c>
      <c r="L622" s="64">
        <v>42744</v>
      </c>
      <c r="M622" s="62" t="s">
        <v>1050</v>
      </c>
      <c r="N622" s="62" t="s">
        <v>1051</v>
      </c>
    </row>
    <row r="623" spans="1:14" s="3" customFormat="1" ht="24.95" customHeight="1">
      <c r="A623" s="24" t="e">
        <f>#REF!+1</f>
        <v>#REF!</v>
      </c>
      <c r="B623" s="24" t="s">
        <v>100</v>
      </c>
      <c r="C623" s="224" t="s">
        <v>47</v>
      </c>
      <c r="D623" s="84" t="s">
        <v>1150</v>
      </c>
      <c r="E623" s="26" t="s">
        <v>1151</v>
      </c>
      <c r="F623" s="46" t="s">
        <v>20</v>
      </c>
      <c r="G623" s="48">
        <v>24617</v>
      </c>
      <c r="H623" s="73" t="s">
        <v>1047</v>
      </c>
      <c r="I623" s="63" t="s">
        <v>22</v>
      </c>
      <c r="J623" s="26" t="s">
        <v>50</v>
      </c>
      <c r="K623" s="64">
        <v>34468</v>
      </c>
      <c r="L623" s="64">
        <v>34468</v>
      </c>
      <c r="M623" s="62" t="s">
        <v>1050</v>
      </c>
      <c r="N623" s="62" t="s">
        <v>1051</v>
      </c>
    </row>
    <row r="624" spans="1:14" s="3" customFormat="1" ht="24.95" customHeight="1">
      <c r="A624" s="24" t="e">
        <f>A623+1</f>
        <v>#REF!</v>
      </c>
      <c r="B624" s="24" t="s">
        <v>100</v>
      </c>
      <c r="C624" s="224" t="s">
        <v>47</v>
      </c>
      <c r="D624" s="24" t="s">
        <v>1152</v>
      </c>
      <c r="E624" s="49" t="s">
        <v>1153</v>
      </c>
      <c r="F624" s="46" t="s">
        <v>20</v>
      </c>
      <c r="G624" s="48">
        <v>32308</v>
      </c>
      <c r="H624" s="73" t="s">
        <v>1047</v>
      </c>
      <c r="I624" s="63" t="s">
        <v>22</v>
      </c>
      <c r="J624" s="26" t="s">
        <v>50</v>
      </c>
      <c r="K624" s="64">
        <v>43282</v>
      </c>
      <c r="L624" s="64">
        <v>43282</v>
      </c>
      <c r="M624" s="62" t="s">
        <v>1050</v>
      </c>
      <c r="N624" s="62" t="s">
        <v>1051</v>
      </c>
    </row>
    <row r="625" spans="1:14" s="3" customFormat="1" ht="24.95" customHeight="1">
      <c r="A625" s="24"/>
      <c r="B625" s="24" t="s">
        <v>100</v>
      </c>
      <c r="C625" s="224" t="s">
        <v>47</v>
      </c>
      <c r="D625" s="84" t="s">
        <v>1154</v>
      </c>
      <c r="E625" s="262" t="s">
        <v>1155</v>
      </c>
      <c r="F625" s="46" t="s">
        <v>20</v>
      </c>
      <c r="G625" s="48">
        <v>30857</v>
      </c>
      <c r="H625" s="73" t="s">
        <v>1047</v>
      </c>
      <c r="I625" s="63" t="s">
        <v>22</v>
      </c>
      <c r="J625" s="26" t="s">
        <v>50</v>
      </c>
      <c r="K625" s="64">
        <v>43282</v>
      </c>
      <c r="L625" s="64">
        <v>43282</v>
      </c>
      <c r="M625" s="62" t="s">
        <v>1050</v>
      </c>
      <c r="N625" s="62" t="s">
        <v>1051</v>
      </c>
    </row>
    <row r="626" spans="1:14" ht="24.95" customHeight="1">
      <c r="A626" s="31"/>
      <c r="B626" s="24" t="s">
        <v>1156</v>
      </c>
      <c r="C626" s="224" t="s">
        <v>45</v>
      </c>
      <c r="D626" s="24" t="s">
        <v>1157</v>
      </c>
      <c r="E626" s="26" t="s">
        <v>1158</v>
      </c>
      <c r="F626" s="46" t="s">
        <v>20</v>
      </c>
      <c r="G626" s="48">
        <v>27030</v>
      </c>
      <c r="H626" s="73" t="s">
        <v>1047</v>
      </c>
      <c r="I626" s="63" t="s">
        <v>22</v>
      </c>
      <c r="J626" s="26" t="s">
        <v>50</v>
      </c>
      <c r="K626" s="64">
        <v>42331</v>
      </c>
      <c r="L626" s="64">
        <v>42331</v>
      </c>
      <c r="M626" s="65" t="s">
        <v>1159</v>
      </c>
      <c r="N626" s="65" t="s">
        <v>1057</v>
      </c>
    </row>
    <row r="627" spans="1:14" ht="24.95" customHeight="1">
      <c r="A627" s="24"/>
      <c r="B627" s="31" t="s">
        <v>1160</v>
      </c>
      <c r="C627" s="231"/>
      <c r="D627" s="231"/>
      <c r="E627" s="26"/>
      <c r="F627" s="26"/>
      <c r="G627" s="42"/>
      <c r="H627" s="99"/>
      <c r="I627" s="26"/>
      <c r="J627" s="26"/>
      <c r="K627" s="71"/>
      <c r="L627" s="71"/>
      <c r="M627" s="55"/>
      <c r="N627" s="55"/>
    </row>
    <row r="628" spans="1:14" s="3" customFormat="1" ht="24.95" customHeight="1">
      <c r="A628" s="24">
        <v>1</v>
      </c>
      <c r="B628" s="31" t="s">
        <v>1161</v>
      </c>
      <c r="C628" s="31"/>
      <c r="D628" s="232" t="s">
        <v>52</v>
      </c>
      <c r="E628" s="233"/>
      <c r="F628" s="233"/>
      <c r="G628" s="236"/>
      <c r="H628" s="237"/>
      <c r="I628" s="233"/>
      <c r="J628" s="233"/>
      <c r="K628" s="238"/>
      <c r="L628" s="238"/>
      <c r="M628" s="239"/>
      <c r="N628" s="239"/>
    </row>
    <row r="629" spans="1:14" s="3" customFormat="1" ht="24.95" customHeight="1">
      <c r="A629" s="24">
        <v>2</v>
      </c>
      <c r="B629" s="137" t="s">
        <v>1162</v>
      </c>
      <c r="C629" s="198"/>
      <c r="D629" s="122" t="s">
        <v>52</v>
      </c>
      <c r="E629" s="126"/>
      <c r="F629" s="126"/>
      <c r="G629" s="133"/>
      <c r="H629" s="137"/>
      <c r="I629" s="126"/>
      <c r="J629" s="126"/>
      <c r="K629" s="64"/>
      <c r="L629" s="64"/>
      <c r="M629" s="65"/>
      <c r="N629" s="65"/>
    </row>
    <row r="630" spans="1:14" s="3" customFormat="1" ht="24.95" customHeight="1">
      <c r="A630" s="24">
        <v>4</v>
      </c>
      <c r="B630" s="35" t="s">
        <v>320</v>
      </c>
      <c r="C630" s="27" t="s">
        <v>129</v>
      </c>
      <c r="D630" s="30" t="s">
        <v>1163</v>
      </c>
      <c r="E630" s="26" t="s">
        <v>1164</v>
      </c>
      <c r="F630" s="46" t="s">
        <v>20</v>
      </c>
      <c r="G630" s="48">
        <v>29894</v>
      </c>
      <c r="H630" s="73" t="s">
        <v>1165</v>
      </c>
      <c r="I630" s="63" t="s">
        <v>22</v>
      </c>
      <c r="J630" s="26" t="s">
        <v>62</v>
      </c>
      <c r="K630" s="64">
        <v>39322</v>
      </c>
      <c r="L630" s="64">
        <v>45490</v>
      </c>
      <c r="M630" s="65">
        <v>45108</v>
      </c>
      <c r="N630" s="65">
        <v>46934</v>
      </c>
    </row>
    <row r="631" spans="1:14" s="3" customFormat="1" ht="24.95" customHeight="1">
      <c r="A631" s="24">
        <v>6</v>
      </c>
      <c r="B631" s="35" t="s">
        <v>320</v>
      </c>
      <c r="C631" s="27" t="s">
        <v>129</v>
      </c>
      <c r="D631" s="35" t="s">
        <v>1166</v>
      </c>
      <c r="E631" s="35" t="s">
        <v>1167</v>
      </c>
      <c r="F631" s="46" t="s">
        <v>20</v>
      </c>
      <c r="G631" s="241">
        <v>56850</v>
      </c>
      <c r="H631" s="284" t="s">
        <v>1168</v>
      </c>
      <c r="I631" s="63" t="s">
        <v>22</v>
      </c>
      <c r="J631" s="26" t="s">
        <v>62</v>
      </c>
      <c r="K631" s="64">
        <v>45517</v>
      </c>
      <c r="L631" s="64">
        <v>45517</v>
      </c>
      <c r="M631" s="62">
        <v>45560</v>
      </c>
      <c r="N631" s="65" t="s">
        <v>1169</v>
      </c>
    </row>
    <row r="632" spans="1:14" s="3" customFormat="1" ht="24.95" customHeight="1">
      <c r="A632" s="24">
        <v>8</v>
      </c>
      <c r="B632" s="35" t="s">
        <v>524</v>
      </c>
      <c r="C632" s="27" t="s">
        <v>123</v>
      </c>
      <c r="D632" s="30" t="s">
        <v>1170</v>
      </c>
      <c r="E632" s="26" t="s">
        <v>1171</v>
      </c>
      <c r="F632" s="46" t="s">
        <v>20</v>
      </c>
      <c r="G632" s="48">
        <v>29188</v>
      </c>
      <c r="H632" s="73" t="s">
        <v>1165</v>
      </c>
      <c r="I632" s="63" t="s">
        <v>22</v>
      </c>
      <c r="J632" s="26" t="s">
        <v>62</v>
      </c>
      <c r="K632" s="64">
        <v>40582</v>
      </c>
      <c r="L632" s="64">
        <v>40582</v>
      </c>
      <c r="M632" s="65">
        <v>45108</v>
      </c>
      <c r="N632" s="65">
        <v>46934</v>
      </c>
    </row>
    <row r="633" spans="1:14" s="3" customFormat="1" ht="24.95" customHeight="1">
      <c r="A633" s="24">
        <v>11</v>
      </c>
      <c r="B633" s="35" t="s">
        <v>524</v>
      </c>
      <c r="C633" s="27" t="s">
        <v>123</v>
      </c>
      <c r="D633" s="30" t="s">
        <v>1172</v>
      </c>
      <c r="E633" s="26" t="s">
        <v>1173</v>
      </c>
      <c r="F633" s="46" t="s">
        <v>20</v>
      </c>
      <c r="G633" s="48">
        <v>28725</v>
      </c>
      <c r="H633" s="73" t="s">
        <v>1165</v>
      </c>
      <c r="I633" s="63" t="s">
        <v>22</v>
      </c>
      <c r="J633" s="26" t="s">
        <v>62</v>
      </c>
      <c r="K633" s="64">
        <v>41022</v>
      </c>
      <c r="L633" s="64">
        <v>41022</v>
      </c>
      <c r="M633" s="65">
        <v>45839</v>
      </c>
      <c r="N633" s="65">
        <v>47664</v>
      </c>
    </row>
    <row r="634" spans="1:14" s="3" customFormat="1" ht="24.95" customHeight="1">
      <c r="A634" s="24">
        <v>12</v>
      </c>
      <c r="B634" s="35" t="s">
        <v>524</v>
      </c>
      <c r="C634" s="27" t="s">
        <v>123</v>
      </c>
      <c r="D634" s="30" t="s">
        <v>1176</v>
      </c>
      <c r="E634" s="26" t="s">
        <v>1177</v>
      </c>
      <c r="F634" s="46" t="s">
        <v>29</v>
      </c>
      <c r="G634" s="48">
        <v>30583</v>
      </c>
      <c r="H634" s="73" t="s">
        <v>1165</v>
      </c>
      <c r="I634" s="63" t="s">
        <v>22</v>
      </c>
      <c r="J634" s="26" t="s">
        <v>62</v>
      </c>
      <c r="K634" s="64">
        <v>41022</v>
      </c>
      <c r="L634" s="64">
        <v>44256</v>
      </c>
      <c r="M634" s="65">
        <v>45108</v>
      </c>
      <c r="N634" s="65">
        <v>46934</v>
      </c>
    </row>
    <row r="635" spans="1:14" s="3" customFormat="1" ht="24.95" customHeight="1">
      <c r="B635" s="35" t="s">
        <v>524</v>
      </c>
      <c r="C635" s="27" t="s">
        <v>123</v>
      </c>
      <c r="D635" s="30" t="s">
        <v>1178</v>
      </c>
      <c r="E635" s="26" t="s">
        <v>1179</v>
      </c>
      <c r="F635" s="46" t="s">
        <v>20</v>
      </c>
      <c r="G635" s="48">
        <v>29819</v>
      </c>
      <c r="H635" s="73" t="s">
        <v>1165</v>
      </c>
      <c r="I635" s="63" t="s">
        <v>22</v>
      </c>
      <c r="J635" s="26" t="s">
        <v>62</v>
      </c>
      <c r="K635" s="64">
        <v>39566</v>
      </c>
      <c r="L635" s="64">
        <v>44409</v>
      </c>
      <c r="M635" s="65">
        <v>45108</v>
      </c>
      <c r="N635" s="65">
        <v>46934</v>
      </c>
    </row>
    <row r="636" spans="1:14" s="3" customFormat="1" ht="24.95" customHeight="1">
      <c r="A636" s="3" t="s">
        <v>1880</v>
      </c>
      <c r="B636" s="35" t="s">
        <v>524</v>
      </c>
      <c r="C636" s="27" t="s">
        <v>123</v>
      </c>
      <c r="D636" s="30" t="s">
        <v>2039</v>
      </c>
      <c r="E636" s="26"/>
      <c r="F636" s="46"/>
      <c r="G636" s="48"/>
      <c r="H636" s="73" t="s">
        <v>1165</v>
      </c>
      <c r="I636" s="63" t="s">
        <v>22</v>
      </c>
      <c r="J636" s="26" t="s">
        <v>62</v>
      </c>
      <c r="K636" s="64"/>
      <c r="L636" s="64"/>
      <c r="M636" s="65"/>
      <c r="N636" s="65"/>
    </row>
    <row r="637" spans="1:14" s="3" customFormat="1" ht="24.95" customHeight="1">
      <c r="A637" s="24">
        <v>16</v>
      </c>
      <c r="B637" s="35" t="s">
        <v>360</v>
      </c>
      <c r="C637" s="27" t="s">
        <v>67</v>
      </c>
      <c r="D637" s="24" t="s">
        <v>1421</v>
      </c>
      <c r="E637" s="89" t="s">
        <v>1422</v>
      </c>
      <c r="F637" s="46" t="s">
        <v>20</v>
      </c>
      <c r="G637" s="48">
        <v>29256</v>
      </c>
      <c r="H637" s="73" t="s">
        <v>1165</v>
      </c>
      <c r="I637" s="63" t="s">
        <v>22</v>
      </c>
      <c r="J637" s="26" t="s">
        <v>70</v>
      </c>
      <c r="K637" s="64">
        <v>34354</v>
      </c>
      <c r="L637" s="64">
        <v>42479</v>
      </c>
      <c r="M637" s="98">
        <v>45839</v>
      </c>
      <c r="N637" s="98">
        <v>47664</v>
      </c>
    </row>
    <row r="638" spans="1:14" s="3" customFormat="1" ht="24.95" customHeight="1">
      <c r="A638" s="3">
        <v>17</v>
      </c>
      <c r="B638" s="35" t="s">
        <v>621</v>
      </c>
      <c r="C638" s="27" t="s">
        <v>279</v>
      </c>
      <c r="D638" s="30" t="s">
        <v>1182</v>
      </c>
      <c r="E638" s="26" t="s">
        <v>1183</v>
      </c>
      <c r="F638" s="46" t="s">
        <v>20</v>
      </c>
      <c r="G638" s="48">
        <v>26809</v>
      </c>
      <c r="H638" s="73" t="s">
        <v>1165</v>
      </c>
      <c r="I638" s="63" t="s">
        <v>22</v>
      </c>
      <c r="J638" s="26" t="s">
        <v>70</v>
      </c>
      <c r="K638" s="64">
        <v>39587</v>
      </c>
      <c r="L638" s="64">
        <v>42795</v>
      </c>
      <c r="M638" s="65">
        <v>45108</v>
      </c>
      <c r="N638" s="65">
        <v>46934</v>
      </c>
    </row>
    <row r="639" spans="1:14" s="3" customFormat="1" ht="24.95" customHeight="1">
      <c r="A639" s="24">
        <v>20</v>
      </c>
      <c r="B639" s="35" t="s">
        <v>627</v>
      </c>
      <c r="C639" s="27" t="s">
        <v>287</v>
      </c>
      <c r="D639" s="30" t="s">
        <v>1184</v>
      </c>
      <c r="E639" s="26" t="s">
        <v>1185</v>
      </c>
      <c r="F639" s="46" t="s">
        <v>20</v>
      </c>
      <c r="G639" s="48">
        <v>29648</v>
      </c>
      <c r="H639" s="73" t="s">
        <v>1165</v>
      </c>
      <c r="I639" s="63" t="s">
        <v>22</v>
      </c>
      <c r="J639" s="26" t="s">
        <v>70</v>
      </c>
      <c r="K639" s="64">
        <v>40546</v>
      </c>
      <c r="L639" s="64">
        <v>40546</v>
      </c>
      <c r="M639" s="65">
        <v>45108</v>
      </c>
      <c r="N639" s="65">
        <v>46934</v>
      </c>
    </row>
    <row r="640" spans="1:14" s="3" customFormat="1" ht="24.95" customHeight="1">
      <c r="A640" s="24"/>
      <c r="B640" s="35" t="s">
        <v>627</v>
      </c>
      <c r="C640" s="27" t="s">
        <v>287</v>
      </c>
      <c r="D640" s="30" t="s">
        <v>1190</v>
      </c>
      <c r="E640" s="26" t="s">
        <v>1191</v>
      </c>
      <c r="F640" s="46" t="s">
        <v>20</v>
      </c>
      <c r="G640" s="48">
        <v>30072</v>
      </c>
      <c r="H640" s="73" t="s">
        <v>1165</v>
      </c>
      <c r="I640" s="63" t="s">
        <v>22</v>
      </c>
      <c r="J640" s="26" t="s">
        <v>70</v>
      </c>
      <c r="K640" s="64">
        <v>41029</v>
      </c>
      <c r="L640" s="64">
        <v>41029</v>
      </c>
      <c r="M640" s="65">
        <v>45839</v>
      </c>
      <c r="N640" s="65">
        <v>47664</v>
      </c>
    </row>
    <row r="641" spans="1:14" s="3" customFormat="1" ht="24.95" customHeight="1">
      <c r="A641" s="24"/>
      <c r="B641" s="35" t="s">
        <v>627</v>
      </c>
      <c r="C641" s="27" t="s">
        <v>287</v>
      </c>
      <c r="D641" s="30" t="s">
        <v>1192</v>
      </c>
      <c r="E641" s="26" t="s">
        <v>1193</v>
      </c>
      <c r="F641" s="46" t="s">
        <v>20</v>
      </c>
      <c r="G641" s="48">
        <v>29133</v>
      </c>
      <c r="H641" s="73" t="s">
        <v>1165</v>
      </c>
      <c r="I641" s="63" t="s">
        <v>22</v>
      </c>
      <c r="J641" s="26" t="s">
        <v>70</v>
      </c>
      <c r="K641" s="64">
        <v>42744</v>
      </c>
      <c r="L641" s="64">
        <v>42744</v>
      </c>
      <c r="M641" s="65">
        <v>45108</v>
      </c>
      <c r="N641" s="65">
        <v>46934</v>
      </c>
    </row>
    <row r="642" spans="1:14" s="3" customFormat="1" ht="24.95" customHeight="1">
      <c r="A642" s="24"/>
      <c r="B642" s="35" t="s">
        <v>627</v>
      </c>
      <c r="C642" s="27" t="s">
        <v>287</v>
      </c>
      <c r="D642" s="24" t="s">
        <v>1194</v>
      </c>
      <c r="E642" s="143" t="s">
        <v>1195</v>
      </c>
      <c r="F642" s="253" t="s">
        <v>20</v>
      </c>
      <c r="G642" s="255">
        <v>37201</v>
      </c>
      <c r="H642" s="141" t="s">
        <v>1165</v>
      </c>
      <c r="I642" s="142" t="s">
        <v>22</v>
      </c>
      <c r="J642" s="26" t="s">
        <v>70</v>
      </c>
      <c r="K642" s="64">
        <v>45414</v>
      </c>
      <c r="L642" s="64">
        <v>45414</v>
      </c>
      <c r="M642" s="64">
        <v>45414</v>
      </c>
      <c r="N642" s="65">
        <v>47238</v>
      </c>
    </row>
    <row r="643" spans="1:14" s="3" customFormat="1" ht="24.95" customHeight="1">
      <c r="A643" s="24">
        <v>21</v>
      </c>
      <c r="B643" s="35" t="s">
        <v>627</v>
      </c>
      <c r="C643" s="27" t="s">
        <v>287</v>
      </c>
      <c r="D643" s="24" t="s">
        <v>1300</v>
      </c>
      <c r="E643" s="26" t="s">
        <v>1301</v>
      </c>
      <c r="F643" s="46" t="s">
        <v>20</v>
      </c>
      <c r="G643" s="48">
        <v>26830</v>
      </c>
      <c r="H643" s="141" t="s">
        <v>1165</v>
      </c>
      <c r="I643" s="63" t="s">
        <v>22</v>
      </c>
      <c r="J643" s="26" t="s">
        <v>70</v>
      </c>
      <c r="K643" s="64">
        <v>40541</v>
      </c>
      <c r="L643" s="64">
        <v>40541</v>
      </c>
      <c r="M643" s="62">
        <v>45474</v>
      </c>
      <c r="N643" s="62">
        <v>47299</v>
      </c>
    </row>
    <row r="644" spans="1:14" s="3" customFormat="1" ht="24.95" customHeight="1">
      <c r="A644" s="24">
        <v>22</v>
      </c>
      <c r="B644" s="31" t="s">
        <v>1196</v>
      </c>
      <c r="C644" s="125"/>
      <c r="D644" s="122"/>
      <c r="E644" s="304"/>
      <c r="F644" s="319"/>
      <c r="G644" s="304"/>
      <c r="H644" s="126"/>
      <c r="I644" s="126"/>
      <c r="J644" s="126"/>
      <c r="K644" s="138"/>
      <c r="L644" s="138"/>
      <c r="M644" s="139"/>
      <c r="N644" s="139"/>
    </row>
    <row r="645" spans="1:14" s="3" customFormat="1" ht="24.95" customHeight="1">
      <c r="A645" s="24"/>
      <c r="B645" s="31" t="s">
        <v>1197</v>
      </c>
      <c r="C645" s="125"/>
      <c r="D645" s="122"/>
      <c r="E645" s="336"/>
      <c r="F645" s="226"/>
      <c r="G645" s="227"/>
      <c r="H645" s="337"/>
      <c r="I645" s="226"/>
      <c r="J645" s="226"/>
      <c r="K645" s="226"/>
      <c r="L645" s="338"/>
      <c r="N645" s="139"/>
    </row>
    <row r="646" spans="1:14" s="3" customFormat="1" ht="24.95" customHeight="1">
      <c r="A646" s="24"/>
      <c r="B646" s="35" t="s">
        <v>650</v>
      </c>
      <c r="C646" s="27" t="s">
        <v>55</v>
      </c>
      <c r="D646" s="24" t="s">
        <v>1198</v>
      </c>
      <c r="E646" s="228" t="s">
        <v>1881</v>
      </c>
      <c r="F646" s="46" t="s">
        <v>20</v>
      </c>
      <c r="G646" s="336">
        <v>28013</v>
      </c>
      <c r="H646" s="63" t="s">
        <v>1165</v>
      </c>
      <c r="I646" s="63" t="s">
        <v>22</v>
      </c>
      <c r="J646" s="26" t="s">
        <v>62</v>
      </c>
      <c r="K646" s="64">
        <v>38720</v>
      </c>
      <c r="L646" s="64">
        <v>45646</v>
      </c>
      <c r="M646" s="62" t="s">
        <v>1050</v>
      </c>
      <c r="N646" s="62" t="s">
        <v>1866</v>
      </c>
    </row>
    <row r="647" spans="1:14" s="3" customFormat="1" ht="24.95" customHeight="1">
      <c r="A647" s="24">
        <v>24</v>
      </c>
      <c r="B647" s="104" t="s">
        <v>1199</v>
      </c>
      <c r="C647" s="27" t="s">
        <v>39</v>
      </c>
      <c r="D647" s="24" t="s">
        <v>1714</v>
      </c>
      <c r="E647" s="26" t="s">
        <v>1715</v>
      </c>
      <c r="F647" s="46" t="s">
        <v>20</v>
      </c>
      <c r="G647" s="48">
        <v>31719</v>
      </c>
      <c r="H647" s="73" t="s">
        <v>1165</v>
      </c>
      <c r="I647" s="63" t="s">
        <v>22</v>
      </c>
      <c r="J647" s="26" t="s">
        <v>30</v>
      </c>
      <c r="K647" s="64">
        <v>45747</v>
      </c>
      <c r="L647" s="64">
        <v>45747</v>
      </c>
      <c r="M647" s="65">
        <v>45748</v>
      </c>
      <c r="N647" s="65">
        <v>47574</v>
      </c>
    </row>
    <row r="648" spans="1:14" s="3" customFormat="1" ht="24.95" customHeight="1">
      <c r="A648" s="24"/>
      <c r="B648" s="104" t="s">
        <v>212</v>
      </c>
      <c r="C648" s="27" t="s">
        <v>39</v>
      </c>
      <c r="D648" s="24" t="s">
        <v>1200</v>
      </c>
      <c r="E648" s="26" t="s">
        <v>1201</v>
      </c>
      <c r="F648" s="46" t="s">
        <v>20</v>
      </c>
      <c r="G648" s="48">
        <v>33125</v>
      </c>
      <c r="H648" s="73" t="s">
        <v>1165</v>
      </c>
      <c r="I648" s="63" t="s">
        <v>22</v>
      </c>
      <c r="J648" s="26" t="s">
        <v>30</v>
      </c>
      <c r="K648" s="64">
        <v>42373</v>
      </c>
      <c r="L648" s="64">
        <v>45392</v>
      </c>
      <c r="M648" s="65">
        <v>45839</v>
      </c>
      <c r="N648" s="65">
        <v>47664</v>
      </c>
    </row>
    <row r="649" spans="1:14" s="3" customFormat="1" ht="24.95" customHeight="1">
      <c r="A649" s="31"/>
      <c r="B649" s="35" t="s">
        <v>540</v>
      </c>
      <c r="C649" s="27" t="s">
        <v>39</v>
      </c>
      <c r="D649" s="24" t="s">
        <v>1202</v>
      </c>
      <c r="E649" s="89" t="s">
        <v>1203</v>
      </c>
      <c r="F649" s="46" t="s">
        <v>20</v>
      </c>
      <c r="G649" s="48">
        <v>29769</v>
      </c>
      <c r="H649" s="73" t="s">
        <v>1165</v>
      </c>
      <c r="I649" s="63" t="s">
        <v>22</v>
      </c>
      <c r="J649" s="26" t="s">
        <v>30</v>
      </c>
      <c r="K649" s="64">
        <v>40500</v>
      </c>
      <c r="L649" s="64">
        <v>45278</v>
      </c>
      <c r="M649" s="98">
        <v>45839</v>
      </c>
      <c r="N649" s="98">
        <v>47664</v>
      </c>
    </row>
    <row r="650" spans="1:14" s="3" customFormat="1" ht="24.95" customHeight="1">
      <c r="A650" s="83"/>
      <c r="B650" s="35" t="s">
        <v>83</v>
      </c>
      <c r="C650" s="27" t="s">
        <v>39</v>
      </c>
      <c r="D650" s="24" t="s">
        <v>1716</v>
      </c>
      <c r="E650" s="270" t="s">
        <v>1717</v>
      </c>
      <c r="F650" s="46" t="s">
        <v>20</v>
      </c>
      <c r="G650" s="269">
        <v>33101</v>
      </c>
      <c r="H650" s="73" t="s">
        <v>1165</v>
      </c>
      <c r="I650" s="63" t="s">
        <v>22</v>
      </c>
      <c r="J650" s="26" t="s">
        <v>30</v>
      </c>
      <c r="K650" s="64">
        <v>45747</v>
      </c>
      <c r="L650" s="64">
        <v>45747</v>
      </c>
      <c r="M650" s="65">
        <v>45756</v>
      </c>
      <c r="N650" s="65">
        <v>47581</v>
      </c>
    </row>
    <row r="651" spans="1:14" s="3" customFormat="1" ht="24.95" customHeight="1">
      <c r="A651" s="76">
        <v>2</v>
      </c>
      <c r="B651" s="104" t="s">
        <v>1204</v>
      </c>
      <c r="C651" s="27" t="s">
        <v>41</v>
      </c>
      <c r="D651" s="24" t="s">
        <v>1205</v>
      </c>
      <c r="E651" s="26" t="s">
        <v>1206</v>
      </c>
      <c r="F651" s="26" t="s">
        <v>29</v>
      </c>
      <c r="G651" s="43">
        <v>25923</v>
      </c>
      <c r="H651" s="73" t="s">
        <v>1165</v>
      </c>
      <c r="I651" s="52" t="s">
        <v>22</v>
      </c>
      <c r="J651" s="26" t="s">
        <v>30</v>
      </c>
      <c r="K651" s="53">
        <v>34468</v>
      </c>
      <c r="L651" s="53">
        <v>42795</v>
      </c>
      <c r="M651" s="72">
        <v>45108</v>
      </c>
      <c r="N651" s="72">
        <v>46934</v>
      </c>
    </row>
    <row r="652" spans="1:14" s="3" customFormat="1" ht="24.95" customHeight="1">
      <c r="A652" s="76"/>
      <c r="B652" s="104" t="s">
        <v>221</v>
      </c>
      <c r="C652" s="27" t="s">
        <v>41</v>
      </c>
      <c r="D652" s="24" t="s">
        <v>1207</v>
      </c>
      <c r="E652" s="89" t="s">
        <v>1208</v>
      </c>
      <c r="F652" s="46" t="s">
        <v>1209</v>
      </c>
      <c r="G652" s="48">
        <v>25506</v>
      </c>
      <c r="H652" s="73" t="s">
        <v>1165</v>
      </c>
      <c r="I652" s="63" t="s">
        <v>22</v>
      </c>
      <c r="J652" s="26" t="s">
        <v>30</v>
      </c>
      <c r="K652" s="64">
        <v>39349</v>
      </c>
      <c r="L652" s="95"/>
      <c r="M652" s="65">
        <v>45474</v>
      </c>
      <c r="N652" s="98">
        <v>47299</v>
      </c>
    </row>
    <row r="653" spans="1:14" s="3" customFormat="1" ht="24.95" customHeight="1">
      <c r="A653" s="76">
        <v>3</v>
      </c>
      <c r="B653" s="104" t="s">
        <v>393</v>
      </c>
      <c r="C653" s="27" t="s">
        <v>85</v>
      </c>
      <c r="D653" s="129" t="s">
        <v>1894</v>
      </c>
      <c r="E653" s="478" t="s">
        <v>1895</v>
      </c>
      <c r="F653" s="46" t="s">
        <v>1209</v>
      </c>
      <c r="G653" s="48" t="s">
        <v>1896</v>
      </c>
      <c r="H653" s="73" t="s">
        <v>1165</v>
      </c>
      <c r="I653" s="63" t="s">
        <v>22</v>
      </c>
      <c r="J653" s="26" t="s">
        <v>30</v>
      </c>
      <c r="K653" s="64">
        <v>46086</v>
      </c>
      <c r="L653" s="64">
        <v>46086</v>
      </c>
      <c r="M653" s="65">
        <v>46119</v>
      </c>
      <c r="N653" s="65">
        <v>47944</v>
      </c>
    </row>
    <row r="654" spans="1:14" s="3" customFormat="1" ht="24.95" customHeight="1">
      <c r="A654" s="76"/>
      <c r="B654" s="35" t="s">
        <v>44</v>
      </c>
      <c r="C654" s="27" t="s">
        <v>45</v>
      </c>
      <c r="D654" s="30" t="s">
        <v>1210</v>
      </c>
      <c r="E654" s="26" t="s">
        <v>1211</v>
      </c>
      <c r="F654" s="46" t="s">
        <v>20</v>
      </c>
      <c r="G654" s="48">
        <v>24180</v>
      </c>
      <c r="H654" s="73" t="s">
        <v>1165</v>
      </c>
      <c r="I654" s="63" t="s">
        <v>22</v>
      </c>
      <c r="J654" s="26" t="s">
        <v>50</v>
      </c>
      <c r="K654" s="64">
        <v>40529</v>
      </c>
      <c r="L654" s="64">
        <v>40529</v>
      </c>
      <c r="M654" s="65">
        <v>45108</v>
      </c>
      <c r="N654" s="65">
        <v>46710</v>
      </c>
    </row>
    <row r="655" spans="1:14" s="3" customFormat="1" ht="24.95" customHeight="1">
      <c r="A655" s="76"/>
      <c r="B655" s="35" t="s">
        <v>44</v>
      </c>
      <c r="C655" s="27" t="s">
        <v>45</v>
      </c>
      <c r="D655" s="30" t="s">
        <v>1212</v>
      </c>
      <c r="E655" s="26" t="s">
        <v>1213</v>
      </c>
      <c r="F655" s="46" t="s">
        <v>20</v>
      </c>
      <c r="G655" s="48">
        <v>28660</v>
      </c>
      <c r="H655" s="73" t="s">
        <v>1165</v>
      </c>
      <c r="I655" s="63" t="s">
        <v>22</v>
      </c>
      <c r="J655" s="26" t="s">
        <v>50</v>
      </c>
      <c r="K655" s="64">
        <v>41029</v>
      </c>
      <c r="L655" s="64">
        <v>41029</v>
      </c>
      <c r="M655" s="65">
        <v>45839</v>
      </c>
      <c r="N655" s="65">
        <v>47664</v>
      </c>
    </row>
    <row r="656" spans="1:14" s="3" customFormat="1" ht="24.95" customHeight="1">
      <c r="A656" s="76"/>
      <c r="B656" s="35" t="s">
        <v>44</v>
      </c>
      <c r="C656" s="27" t="s">
        <v>45</v>
      </c>
      <c r="D656" s="30" t="s">
        <v>1214</v>
      </c>
      <c r="E656" s="26" t="s">
        <v>1215</v>
      </c>
      <c r="F656" s="46" t="s">
        <v>20</v>
      </c>
      <c r="G656" s="48">
        <v>24836</v>
      </c>
      <c r="H656" s="73" t="s">
        <v>1165</v>
      </c>
      <c r="I656" s="63" t="s">
        <v>22</v>
      </c>
      <c r="J656" s="26" t="s">
        <v>50</v>
      </c>
      <c r="K656" s="64">
        <v>41337</v>
      </c>
      <c r="L656" s="64">
        <v>41337</v>
      </c>
      <c r="M656" s="65">
        <v>45108</v>
      </c>
      <c r="N656" s="65">
        <v>46751</v>
      </c>
    </row>
    <row r="657" spans="1:14" s="3" customFormat="1" ht="24.95" customHeight="1">
      <c r="A657" s="76"/>
      <c r="B657" s="35" t="s">
        <v>44</v>
      </c>
      <c r="C657" s="27" t="s">
        <v>45</v>
      </c>
      <c r="D657" s="240" t="s">
        <v>1216</v>
      </c>
      <c r="E657" s="26" t="s">
        <v>1217</v>
      </c>
      <c r="F657" s="46" t="s">
        <v>20</v>
      </c>
      <c r="G657" s="48">
        <v>30171</v>
      </c>
      <c r="H657" s="73" t="s">
        <v>1165</v>
      </c>
      <c r="I657" s="63" t="s">
        <v>22</v>
      </c>
      <c r="J657" s="26" t="s">
        <v>50</v>
      </c>
      <c r="K657" s="64">
        <v>42401</v>
      </c>
      <c r="L657" s="64">
        <v>42401</v>
      </c>
      <c r="M657" s="65">
        <v>45839</v>
      </c>
      <c r="N657" s="65">
        <v>47664</v>
      </c>
    </row>
    <row r="658" spans="1:14" s="3" customFormat="1" ht="24.95" customHeight="1">
      <c r="A658" s="76">
        <v>6</v>
      </c>
      <c r="B658" s="35" t="s">
        <v>100</v>
      </c>
      <c r="C658" s="27" t="s">
        <v>47</v>
      </c>
      <c r="D658" s="30" t="s">
        <v>1218</v>
      </c>
      <c r="E658" s="26" t="s">
        <v>1219</v>
      </c>
      <c r="F658" s="46" t="s">
        <v>20</v>
      </c>
      <c r="G658" s="48">
        <v>27504</v>
      </c>
      <c r="H658" s="73" t="s">
        <v>1165</v>
      </c>
      <c r="I658" s="63" t="s">
        <v>22</v>
      </c>
      <c r="J658" s="26" t="s">
        <v>50</v>
      </c>
      <c r="K658" s="64">
        <v>39995</v>
      </c>
      <c r="L658" s="64">
        <v>39995</v>
      </c>
      <c r="M658" s="65">
        <v>45108</v>
      </c>
      <c r="N658" s="65">
        <v>46934</v>
      </c>
    </row>
    <row r="659" spans="1:14" s="3" customFormat="1" ht="24.95" customHeight="1">
      <c r="A659" s="76">
        <v>7</v>
      </c>
      <c r="B659" s="35" t="s">
        <v>100</v>
      </c>
      <c r="C659" s="27" t="s">
        <v>47</v>
      </c>
      <c r="D659" s="24" t="s">
        <v>101</v>
      </c>
      <c r="E659" s="26" t="s">
        <v>102</v>
      </c>
      <c r="F659" s="26" t="s">
        <v>20</v>
      </c>
      <c r="G659" s="43">
        <v>29434</v>
      </c>
      <c r="H659" s="73" t="s">
        <v>1165</v>
      </c>
      <c r="I659" s="52" t="s">
        <v>22</v>
      </c>
      <c r="J659" s="26" t="s">
        <v>50</v>
      </c>
      <c r="K659" s="53">
        <v>39293</v>
      </c>
      <c r="L659" s="53">
        <v>39293</v>
      </c>
      <c r="M659" s="55">
        <v>45108</v>
      </c>
      <c r="N659" s="55">
        <v>46934</v>
      </c>
    </row>
    <row r="660" spans="1:14" s="13" customFormat="1" ht="24.95" customHeight="1">
      <c r="A660" s="76">
        <v>8</v>
      </c>
      <c r="B660" s="31" t="s">
        <v>1220</v>
      </c>
      <c r="C660" s="77"/>
      <c r="D660" s="479"/>
      <c r="E660" s="26"/>
      <c r="F660" s="46"/>
      <c r="G660" s="48"/>
      <c r="H660" s="73"/>
      <c r="I660" s="63"/>
      <c r="J660" s="26"/>
      <c r="K660" s="64"/>
      <c r="L660" s="64"/>
      <c r="M660" s="65"/>
      <c r="N660" s="65"/>
    </row>
    <row r="661" spans="1:14" s="13" customFormat="1" ht="24.95" customHeight="1">
      <c r="A661" s="76"/>
      <c r="B661" s="252" t="s">
        <v>1221</v>
      </c>
      <c r="C661" s="77"/>
      <c r="D661" s="127"/>
      <c r="E661" s="252"/>
      <c r="F661" s="252"/>
      <c r="G661" s="301"/>
      <c r="H661" s="302"/>
      <c r="I661" s="252"/>
      <c r="J661" s="252"/>
      <c r="K661" s="64"/>
      <c r="L661" s="64"/>
      <c r="M661" s="65"/>
      <c r="N661" s="65"/>
    </row>
    <row r="662" spans="1:14" ht="24.95" customHeight="1">
      <c r="B662" s="252"/>
      <c r="C662" s="77"/>
      <c r="D662" s="252"/>
      <c r="E662" s="252"/>
      <c r="F662" s="252"/>
      <c r="G662" s="301"/>
      <c r="H662" s="302"/>
      <c r="I662" s="252"/>
      <c r="J662" s="252"/>
      <c r="K662" s="280"/>
      <c r="L662" s="280"/>
      <c r="M662" s="281"/>
      <c r="N662" s="281"/>
    </row>
    <row r="663" spans="1:14" ht="24.95" customHeight="1">
      <c r="B663" s="137" t="s">
        <v>1222</v>
      </c>
      <c r="C663" s="198"/>
      <c r="D663" s="122" t="s">
        <v>52</v>
      </c>
      <c r="E663" s="126"/>
      <c r="F663" s="126"/>
      <c r="G663" s="133"/>
      <c r="H663" s="137"/>
      <c r="I663" s="126"/>
      <c r="J663" s="126"/>
      <c r="K663" s="280"/>
      <c r="L663" s="280"/>
      <c r="M663" s="281"/>
      <c r="N663" s="281"/>
    </row>
    <row r="664" spans="1:14" ht="24.95" customHeight="1">
      <c r="B664" s="85" t="s">
        <v>291</v>
      </c>
      <c r="C664" s="27" t="s">
        <v>59</v>
      </c>
      <c r="D664" s="24" t="s">
        <v>1223</v>
      </c>
      <c r="E664" s="46" t="s">
        <v>1224</v>
      </c>
      <c r="F664" s="46" t="s">
        <v>20</v>
      </c>
      <c r="G664" s="48">
        <v>27583</v>
      </c>
      <c r="H664" s="73" t="s">
        <v>1225</v>
      </c>
      <c r="I664" s="63" t="s">
        <v>22</v>
      </c>
      <c r="J664" s="26" t="s">
        <v>62</v>
      </c>
      <c r="K664" s="64">
        <v>40507</v>
      </c>
      <c r="L664" s="64">
        <v>44743</v>
      </c>
      <c r="M664" s="65">
        <v>45839</v>
      </c>
      <c r="N664" s="65">
        <v>47664</v>
      </c>
    </row>
    <row r="665" spans="1:14" ht="24.95" customHeight="1">
      <c r="A665" s="83"/>
      <c r="B665" s="76" t="s">
        <v>320</v>
      </c>
      <c r="C665" s="27" t="s">
        <v>129</v>
      </c>
      <c r="D665" s="82" t="s">
        <v>1226</v>
      </c>
      <c r="E665" s="46" t="s">
        <v>1227</v>
      </c>
      <c r="F665" s="46" t="s">
        <v>20</v>
      </c>
      <c r="G665" s="48">
        <v>23977</v>
      </c>
      <c r="H665" s="73" t="s">
        <v>1225</v>
      </c>
      <c r="I665" s="63" t="s">
        <v>22</v>
      </c>
      <c r="J665" s="26" t="s">
        <v>62</v>
      </c>
      <c r="K665" s="64">
        <v>39492</v>
      </c>
      <c r="L665" s="64">
        <v>43922</v>
      </c>
      <c r="M665" s="65" t="s">
        <v>193</v>
      </c>
      <c r="N665" s="65" t="s">
        <v>551</v>
      </c>
    </row>
    <row r="666" spans="1:14" ht="24.95" customHeight="1">
      <c r="A666" s="83"/>
      <c r="B666" s="76" t="s">
        <v>320</v>
      </c>
      <c r="C666" s="27" t="s">
        <v>129</v>
      </c>
      <c r="D666" s="28" t="s">
        <v>1228</v>
      </c>
      <c r="E666" s="46" t="s">
        <v>1229</v>
      </c>
      <c r="F666" s="46" t="s">
        <v>20</v>
      </c>
      <c r="G666" s="48">
        <v>28342</v>
      </c>
      <c r="H666" s="73" t="s">
        <v>1225</v>
      </c>
      <c r="I666" s="63" t="s">
        <v>22</v>
      </c>
      <c r="J666" s="26" t="s">
        <v>62</v>
      </c>
      <c r="K666" s="64">
        <v>40078</v>
      </c>
      <c r="L666" s="64">
        <v>45017</v>
      </c>
      <c r="M666" s="65" t="s">
        <v>193</v>
      </c>
      <c r="N666" s="65" t="s">
        <v>551</v>
      </c>
    </row>
    <row r="667" spans="1:14" ht="24.95" customHeight="1">
      <c r="A667" s="83">
        <v>1</v>
      </c>
      <c r="B667" s="76" t="s">
        <v>320</v>
      </c>
      <c r="C667" s="27" t="s">
        <v>129</v>
      </c>
      <c r="D667" s="28" t="s">
        <v>1230</v>
      </c>
      <c r="E667" s="26" t="s">
        <v>1231</v>
      </c>
      <c r="F667" s="46" t="s">
        <v>20</v>
      </c>
      <c r="G667" s="48">
        <v>28863</v>
      </c>
      <c r="H667" s="73" t="s">
        <v>1225</v>
      </c>
      <c r="I667" s="63" t="s">
        <v>22</v>
      </c>
      <c r="J667" s="26" t="s">
        <v>62</v>
      </c>
      <c r="K667" s="64">
        <v>41767</v>
      </c>
      <c r="L667" s="64">
        <v>46009</v>
      </c>
      <c r="M667" s="65">
        <v>45474</v>
      </c>
      <c r="N667" s="65">
        <v>47299</v>
      </c>
    </row>
    <row r="668" spans="1:14" ht="24.95" customHeight="1">
      <c r="A668" s="76">
        <v>4</v>
      </c>
      <c r="B668" s="76" t="s">
        <v>524</v>
      </c>
      <c r="C668" s="27" t="s">
        <v>123</v>
      </c>
      <c r="D668" s="24" t="s">
        <v>1232</v>
      </c>
      <c r="E668" s="46" t="s">
        <v>1233</v>
      </c>
      <c r="F668" s="46" t="s">
        <v>20</v>
      </c>
      <c r="G668" s="48">
        <v>26189</v>
      </c>
      <c r="H668" s="73" t="s">
        <v>1225</v>
      </c>
      <c r="I668" s="63" t="s">
        <v>22</v>
      </c>
      <c r="J668" s="26" t="s">
        <v>62</v>
      </c>
      <c r="K668" s="64">
        <v>39763</v>
      </c>
      <c r="L668" s="64">
        <v>41913</v>
      </c>
      <c r="M668" s="65">
        <v>45474</v>
      </c>
      <c r="N668" s="65">
        <v>47299</v>
      </c>
    </row>
    <row r="669" spans="1:14" ht="24.95" customHeight="1">
      <c r="A669" s="83">
        <v>5</v>
      </c>
      <c r="B669" s="76" t="s">
        <v>524</v>
      </c>
      <c r="C669" s="27" t="s">
        <v>123</v>
      </c>
      <c r="D669" s="24" t="s">
        <v>1234</v>
      </c>
      <c r="E669" s="26" t="s">
        <v>1235</v>
      </c>
      <c r="F669" s="46" t="s">
        <v>20</v>
      </c>
      <c r="G669" s="48">
        <v>25800</v>
      </c>
      <c r="H669" s="73" t="s">
        <v>1225</v>
      </c>
      <c r="I669" s="63" t="s">
        <v>22</v>
      </c>
      <c r="J669" s="26" t="s">
        <v>62</v>
      </c>
      <c r="K669" s="64">
        <v>42093</v>
      </c>
      <c r="L669" s="64">
        <v>42093</v>
      </c>
      <c r="M669" s="65">
        <v>45474</v>
      </c>
      <c r="N669" s="65">
        <v>47299</v>
      </c>
    </row>
    <row r="670" spans="1:14" ht="24.95" customHeight="1">
      <c r="A670" s="76">
        <v>6</v>
      </c>
      <c r="B670" s="76" t="s">
        <v>524</v>
      </c>
      <c r="C670" s="27" t="s">
        <v>123</v>
      </c>
      <c r="D670" s="28" t="s">
        <v>1236</v>
      </c>
      <c r="E670" s="46" t="s">
        <v>1237</v>
      </c>
      <c r="F670" s="46" t="s">
        <v>20</v>
      </c>
      <c r="G670" s="48">
        <v>28713</v>
      </c>
      <c r="H670" s="73" t="s">
        <v>1225</v>
      </c>
      <c r="I670" s="63" t="s">
        <v>22</v>
      </c>
      <c r="J670" s="26" t="s">
        <v>62</v>
      </c>
      <c r="K670" s="64">
        <v>39434</v>
      </c>
      <c r="L670" s="64">
        <v>43466</v>
      </c>
      <c r="M670" s="65">
        <v>45474</v>
      </c>
      <c r="N670" s="65">
        <v>47299</v>
      </c>
    </row>
    <row r="671" spans="1:14" ht="24.95" customHeight="1">
      <c r="A671" s="83">
        <v>7</v>
      </c>
      <c r="B671" s="76" t="s">
        <v>524</v>
      </c>
      <c r="C671" s="27" t="s">
        <v>123</v>
      </c>
      <c r="D671" s="82" t="s">
        <v>1238</v>
      </c>
      <c r="E671" s="262" t="s">
        <v>1239</v>
      </c>
      <c r="F671" s="46" t="s">
        <v>20</v>
      </c>
      <c r="G671" s="48">
        <v>28000</v>
      </c>
      <c r="H671" s="73" t="s">
        <v>1225</v>
      </c>
      <c r="I671" s="63" t="s">
        <v>22</v>
      </c>
      <c r="J671" s="26" t="s">
        <v>62</v>
      </c>
      <c r="K671" s="64">
        <v>43601</v>
      </c>
      <c r="L671" s="64">
        <v>43601</v>
      </c>
      <c r="M671" s="65">
        <v>45474</v>
      </c>
      <c r="N671" s="65">
        <v>47299</v>
      </c>
    </row>
    <row r="672" spans="1:14" ht="24.95" customHeight="1">
      <c r="A672" s="76">
        <v>8</v>
      </c>
      <c r="B672" s="76" t="s">
        <v>360</v>
      </c>
      <c r="C672" s="27" t="s">
        <v>67</v>
      </c>
      <c r="D672" s="82" t="s">
        <v>1718</v>
      </c>
      <c r="E672" s="95" t="s">
        <v>1719</v>
      </c>
      <c r="F672" s="95" t="s">
        <v>29</v>
      </c>
      <c r="G672" s="305">
        <v>33801</v>
      </c>
      <c r="H672" s="73" t="s">
        <v>1225</v>
      </c>
      <c r="I672" s="63" t="s">
        <v>22</v>
      </c>
      <c r="J672" s="26" t="s">
        <v>70</v>
      </c>
      <c r="K672" s="100">
        <v>45747</v>
      </c>
      <c r="L672" s="100">
        <v>45747</v>
      </c>
      <c r="M672" s="62">
        <v>45755</v>
      </c>
      <c r="N672" s="62" t="s">
        <v>1720</v>
      </c>
    </row>
    <row r="673" spans="1:14" ht="24.95" customHeight="1">
      <c r="A673" s="83">
        <v>9</v>
      </c>
      <c r="B673" s="76" t="s">
        <v>627</v>
      </c>
      <c r="C673" s="27" t="s">
        <v>287</v>
      </c>
      <c r="D673" s="24" t="s">
        <v>1240</v>
      </c>
      <c r="E673" s="46" t="s">
        <v>1241</v>
      </c>
      <c r="F673" s="46" t="s">
        <v>20</v>
      </c>
      <c r="G673" s="48">
        <v>25862</v>
      </c>
      <c r="H673" s="73" t="s">
        <v>1225</v>
      </c>
      <c r="I673" s="63" t="s">
        <v>22</v>
      </c>
      <c r="J673" s="26" t="s">
        <v>70</v>
      </c>
      <c r="K673" s="64">
        <v>40672</v>
      </c>
      <c r="L673" s="64">
        <v>40672</v>
      </c>
      <c r="M673" s="65">
        <v>45474</v>
      </c>
      <c r="N673" s="65">
        <v>47299</v>
      </c>
    </row>
    <row r="674" spans="1:14" ht="24.95" customHeight="1">
      <c r="A674" s="76">
        <v>10</v>
      </c>
      <c r="B674" s="76" t="s">
        <v>627</v>
      </c>
      <c r="C674" s="27" t="s">
        <v>287</v>
      </c>
      <c r="D674" s="24" t="s">
        <v>1242</v>
      </c>
      <c r="E674" s="46" t="s">
        <v>1243</v>
      </c>
      <c r="F674" s="46" t="s">
        <v>20</v>
      </c>
      <c r="G674" s="48">
        <v>31234</v>
      </c>
      <c r="H674" s="73" t="s">
        <v>1225</v>
      </c>
      <c r="I674" s="63" t="s">
        <v>22</v>
      </c>
      <c r="J674" s="26" t="s">
        <v>70</v>
      </c>
      <c r="K674" s="64">
        <v>40672</v>
      </c>
      <c r="L674" s="64">
        <v>40672</v>
      </c>
      <c r="M674" s="65">
        <v>45474</v>
      </c>
      <c r="N674" s="65">
        <v>47299</v>
      </c>
    </row>
    <row r="675" spans="1:14" ht="24.95" customHeight="1">
      <c r="A675" s="76">
        <v>12</v>
      </c>
      <c r="B675" s="76" t="s">
        <v>627</v>
      </c>
      <c r="C675" s="27" t="s">
        <v>287</v>
      </c>
      <c r="D675" s="24" t="s">
        <v>1244</v>
      </c>
      <c r="E675" s="46" t="s">
        <v>1245</v>
      </c>
      <c r="F675" s="46" t="s">
        <v>20</v>
      </c>
      <c r="G675" s="48">
        <v>31300</v>
      </c>
      <c r="H675" s="73" t="s">
        <v>1225</v>
      </c>
      <c r="I675" s="63" t="s">
        <v>22</v>
      </c>
      <c r="J675" s="26" t="s">
        <v>70</v>
      </c>
      <c r="K675" s="64">
        <v>40672</v>
      </c>
      <c r="L675" s="64">
        <v>40672</v>
      </c>
      <c r="M675" s="65">
        <v>45839</v>
      </c>
      <c r="N675" s="65">
        <v>47664</v>
      </c>
    </row>
    <row r="676" spans="1:14" ht="24.95" customHeight="1">
      <c r="B676" s="76" t="s">
        <v>627</v>
      </c>
      <c r="C676" s="27" t="s">
        <v>287</v>
      </c>
      <c r="D676" s="24" t="s">
        <v>1246</v>
      </c>
      <c r="E676" s="26" t="s">
        <v>1247</v>
      </c>
      <c r="F676" s="46" t="s">
        <v>20</v>
      </c>
      <c r="G676" s="48">
        <v>28086</v>
      </c>
      <c r="H676" s="73" t="s">
        <v>1225</v>
      </c>
      <c r="I676" s="63" t="s">
        <v>22</v>
      </c>
      <c r="J676" s="26" t="s">
        <v>70</v>
      </c>
      <c r="K676" s="64">
        <v>41024</v>
      </c>
      <c r="L676" s="64">
        <v>45490</v>
      </c>
      <c r="M676" s="65" t="s">
        <v>193</v>
      </c>
      <c r="N676" s="65" t="s">
        <v>551</v>
      </c>
    </row>
    <row r="677" spans="1:14" ht="24.95" customHeight="1">
      <c r="B677" s="76" t="s">
        <v>627</v>
      </c>
      <c r="C677" s="27" t="s">
        <v>287</v>
      </c>
      <c r="D677" s="24" t="s">
        <v>1248</v>
      </c>
      <c r="E677" s="26" t="s">
        <v>1249</v>
      </c>
      <c r="F677" s="46" t="s">
        <v>29</v>
      </c>
      <c r="G677" s="48">
        <v>32363</v>
      </c>
      <c r="H677" s="73" t="s">
        <v>1225</v>
      </c>
      <c r="I677" s="63" t="s">
        <v>22</v>
      </c>
      <c r="J677" s="26" t="s">
        <v>70</v>
      </c>
      <c r="K677" s="64">
        <v>42401</v>
      </c>
      <c r="L677" s="64">
        <v>42401</v>
      </c>
      <c r="M677" s="65">
        <v>45839</v>
      </c>
      <c r="N677" s="65">
        <v>47664</v>
      </c>
    </row>
    <row r="678" spans="1:14" s="3" customFormat="1" ht="24.95" customHeight="1">
      <c r="A678" s="76"/>
      <c r="B678" s="76" t="s">
        <v>627</v>
      </c>
      <c r="C678" s="27" t="s">
        <v>287</v>
      </c>
      <c r="D678" s="82" t="s">
        <v>1252</v>
      </c>
      <c r="E678" s="63" t="s">
        <v>1253</v>
      </c>
      <c r="F678" s="63" t="s">
        <v>29</v>
      </c>
      <c r="G678" s="48">
        <v>36297</v>
      </c>
      <c r="H678" s="73" t="s">
        <v>1225</v>
      </c>
      <c r="I678" s="63" t="s">
        <v>22</v>
      </c>
      <c r="J678" s="26" t="s">
        <v>70</v>
      </c>
      <c r="K678" s="64">
        <v>45419</v>
      </c>
      <c r="L678" s="64">
        <v>45419</v>
      </c>
      <c r="M678" s="64">
        <v>45419</v>
      </c>
      <c r="N678" s="64">
        <v>47244</v>
      </c>
    </row>
    <row r="679" spans="1:14" s="3" customFormat="1" ht="24.95" customHeight="1">
      <c r="A679" s="76">
        <v>14</v>
      </c>
      <c r="B679" s="31" t="s">
        <v>1196</v>
      </c>
      <c r="C679" s="198"/>
      <c r="D679" s="123"/>
      <c r="E679" s="126"/>
      <c r="F679" s="126"/>
      <c r="G679" s="133"/>
      <c r="H679" s="137"/>
      <c r="I679" s="126"/>
      <c r="J679" s="126"/>
      <c r="K679" s="138"/>
      <c r="L679" s="138"/>
      <c r="M679" s="139"/>
      <c r="N679" s="139"/>
    </row>
    <row r="680" spans="1:14" s="3" customFormat="1" ht="24.95" customHeight="1">
      <c r="A680" s="76"/>
      <c r="B680" s="31" t="s">
        <v>1197</v>
      </c>
      <c r="C680" s="198"/>
      <c r="D680" s="35"/>
      <c r="E680" s="35"/>
      <c r="F680" s="35"/>
      <c r="G680" s="47"/>
      <c r="H680" s="215"/>
      <c r="I680" s="35"/>
      <c r="J680" s="35"/>
      <c r="K680" s="100"/>
      <c r="L680" s="100"/>
      <c r="M680" s="62"/>
      <c r="N680" s="62"/>
    </row>
    <row r="681" spans="1:14" ht="24.95" customHeight="1">
      <c r="A681" s="76">
        <v>15</v>
      </c>
      <c r="B681" s="76" t="s">
        <v>650</v>
      </c>
      <c r="C681" s="27" t="s">
        <v>55</v>
      </c>
      <c r="D681" s="24" t="s">
        <v>1254</v>
      </c>
      <c r="E681" s="26" t="s">
        <v>1255</v>
      </c>
      <c r="F681" s="46" t="s">
        <v>20</v>
      </c>
      <c r="G681" s="48">
        <v>28936</v>
      </c>
      <c r="H681" s="73" t="s">
        <v>1225</v>
      </c>
      <c r="I681" s="63" t="s">
        <v>22</v>
      </c>
      <c r="J681" s="26" t="s">
        <v>62</v>
      </c>
      <c r="K681" s="64">
        <v>39422</v>
      </c>
      <c r="L681" s="64">
        <v>45245</v>
      </c>
      <c r="M681" s="62">
        <v>45323</v>
      </c>
      <c r="N681" s="55" t="s">
        <v>959</v>
      </c>
    </row>
    <row r="682" spans="1:14" ht="24.95" customHeight="1">
      <c r="A682" s="77"/>
      <c r="B682" s="76" t="s">
        <v>83</v>
      </c>
      <c r="C682" s="24" t="s">
        <v>39</v>
      </c>
      <c r="D682" s="24" t="s">
        <v>1256</v>
      </c>
      <c r="E682" s="47" t="s">
        <v>1257</v>
      </c>
      <c r="F682" s="35" t="s">
        <v>20</v>
      </c>
      <c r="G682" s="48" t="s">
        <v>1258</v>
      </c>
      <c r="H682" s="243" t="s">
        <v>1225</v>
      </c>
      <c r="I682" s="104" t="s">
        <v>22</v>
      </c>
      <c r="J682" s="30" t="s">
        <v>30</v>
      </c>
      <c r="K682" s="100">
        <v>38781</v>
      </c>
      <c r="L682" s="100">
        <v>44933</v>
      </c>
      <c r="M682" s="62" t="s">
        <v>551</v>
      </c>
      <c r="N682" s="62" t="s">
        <v>551</v>
      </c>
    </row>
    <row r="683" spans="1:14" ht="24.95" customHeight="1">
      <c r="A683" s="77"/>
      <c r="B683" s="85" t="s">
        <v>1199</v>
      </c>
      <c r="C683" s="27" t="s">
        <v>39</v>
      </c>
      <c r="D683" s="95" t="s">
        <v>1776</v>
      </c>
      <c r="E683" s="320" t="s">
        <v>1837</v>
      </c>
      <c r="F683" s="289" t="s">
        <v>20</v>
      </c>
      <c r="G683" s="321">
        <v>35375</v>
      </c>
      <c r="H683" s="322" t="s">
        <v>1225</v>
      </c>
      <c r="I683" s="323" t="s">
        <v>22</v>
      </c>
      <c r="J683" s="324" t="s">
        <v>30</v>
      </c>
      <c r="K683" s="321">
        <v>45839</v>
      </c>
      <c r="L683" s="321">
        <v>45839</v>
      </c>
      <c r="M683" s="321">
        <v>45875</v>
      </c>
      <c r="N683" s="321">
        <v>47669</v>
      </c>
    </row>
    <row r="684" spans="1:14" ht="24.95" customHeight="1">
      <c r="A684" s="77"/>
      <c r="B684" s="24" t="s">
        <v>540</v>
      </c>
      <c r="C684" s="27" t="s">
        <v>39</v>
      </c>
      <c r="D684" s="29" t="s">
        <v>1732</v>
      </c>
      <c r="E684" s="89" t="s">
        <v>1733</v>
      </c>
      <c r="F684" s="26" t="s">
        <v>29</v>
      </c>
      <c r="G684" s="43">
        <v>34042</v>
      </c>
      <c r="H684" s="243" t="s">
        <v>1225</v>
      </c>
      <c r="I684" s="52" t="s">
        <v>22</v>
      </c>
      <c r="J684" s="26" t="s">
        <v>30</v>
      </c>
      <c r="K684" s="53">
        <v>45670</v>
      </c>
      <c r="L684" s="53">
        <v>45670</v>
      </c>
      <c r="M684" s="55">
        <v>45748</v>
      </c>
      <c r="N684" s="55">
        <v>47573</v>
      </c>
    </row>
    <row r="685" spans="1:14" ht="24.95" customHeight="1">
      <c r="A685" s="76">
        <v>2</v>
      </c>
      <c r="B685" s="76" t="s">
        <v>212</v>
      </c>
      <c r="C685" s="24" t="s">
        <v>39</v>
      </c>
      <c r="D685" s="30" t="s">
        <v>1262</v>
      </c>
      <c r="E685" s="26" t="s">
        <v>1263</v>
      </c>
      <c r="F685" s="46" t="s">
        <v>20</v>
      </c>
      <c r="G685" s="48">
        <v>25922</v>
      </c>
      <c r="H685" s="243" t="s">
        <v>1225</v>
      </c>
      <c r="I685" s="63" t="s">
        <v>22</v>
      </c>
      <c r="J685" s="26" t="s">
        <v>30</v>
      </c>
      <c r="K685" s="64">
        <v>35690</v>
      </c>
      <c r="L685" s="64">
        <v>39356</v>
      </c>
      <c r="M685" s="65">
        <v>45839</v>
      </c>
      <c r="N685" s="65">
        <v>47664</v>
      </c>
    </row>
    <row r="686" spans="1:14" ht="24.95" customHeight="1">
      <c r="A686" s="76">
        <v>3</v>
      </c>
      <c r="B686" s="85" t="s">
        <v>1261</v>
      </c>
      <c r="C686" s="27" t="s">
        <v>41</v>
      </c>
      <c r="D686" s="24" t="s">
        <v>1131</v>
      </c>
      <c r="E686" s="26" t="s">
        <v>1132</v>
      </c>
      <c r="F686" s="46" t="s">
        <v>29</v>
      </c>
      <c r="G686" s="48">
        <v>27719</v>
      </c>
      <c r="H686" s="243" t="s">
        <v>1225</v>
      </c>
      <c r="I686" s="63" t="s">
        <v>22</v>
      </c>
      <c r="J686" s="26" t="s">
        <v>30</v>
      </c>
      <c r="K686" s="64">
        <v>34468</v>
      </c>
      <c r="L686" s="64">
        <v>45278</v>
      </c>
      <c r="M686" s="65">
        <v>45839</v>
      </c>
      <c r="N686" s="65">
        <v>47664</v>
      </c>
    </row>
    <row r="687" spans="1:14" ht="24.95" customHeight="1">
      <c r="B687" s="85" t="s">
        <v>393</v>
      </c>
      <c r="C687" s="27" t="s">
        <v>85</v>
      </c>
      <c r="D687" s="24" t="s">
        <v>1265</v>
      </c>
      <c r="E687" s="242" t="s">
        <v>1266</v>
      </c>
      <c r="F687" s="46" t="s">
        <v>29</v>
      </c>
      <c r="G687" s="48">
        <v>27322</v>
      </c>
      <c r="H687" s="73" t="s">
        <v>1225</v>
      </c>
      <c r="I687" s="63" t="s">
        <v>22</v>
      </c>
      <c r="J687" s="26" t="s">
        <v>30</v>
      </c>
      <c r="K687" s="64">
        <v>40341</v>
      </c>
      <c r="L687" s="64">
        <v>40341</v>
      </c>
      <c r="M687" s="65" t="s">
        <v>193</v>
      </c>
      <c r="N687" s="65" t="s">
        <v>551</v>
      </c>
    </row>
    <row r="688" spans="1:14" ht="24.95" customHeight="1">
      <c r="B688" s="76" t="s">
        <v>226</v>
      </c>
      <c r="C688" s="27" t="s">
        <v>85</v>
      </c>
      <c r="D688" s="24" t="s">
        <v>1842</v>
      </c>
      <c r="E688" s="26" t="s">
        <v>1743</v>
      </c>
      <c r="F688" s="46" t="s">
        <v>20</v>
      </c>
      <c r="G688" s="48">
        <v>31133</v>
      </c>
      <c r="H688" s="73" t="s">
        <v>1225</v>
      </c>
      <c r="I688" s="63" t="s">
        <v>22</v>
      </c>
      <c r="J688" s="26" t="s">
        <v>30</v>
      </c>
      <c r="K688" s="64" t="s">
        <v>1744</v>
      </c>
      <c r="L688" s="64" t="s">
        <v>1745</v>
      </c>
      <c r="M688" s="65">
        <v>45756</v>
      </c>
      <c r="N688" s="65" t="s">
        <v>1746</v>
      </c>
    </row>
    <row r="689" spans="1:14" ht="24.95" customHeight="1">
      <c r="A689" s="76">
        <v>4</v>
      </c>
      <c r="B689" s="76" t="s">
        <v>44</v>
      </c>
      <c r="C689" s="27" t="s">
        <v>45</v>
      </c>
      <c r="D689" s="24" t="s">
        <v>1269</v>
      </c>
      <c r="E689" s="46" t="s">
        <v>1270</v>
      </c>
      <c r="F689" s="46" t="s">
        <v>20</v>
      </c>
      <c r="G689" s="48">
        <v>25458</v>
      </c>
      <c r="H689" s="73" t="s">
        <v>1225</v>
      </c>
      <c r="I689" s="63" t="s">
        <v>22</v>
      </c>
      <c r="J689" s="26" t="s">
        <v>50</v>
      </c>
      <c r="K689" s="64">
        <v>40207</v>
      </c>
      <c r="L689" s="64">
        <v>40207</v>
      </c>
      <c r="M689" s="65" t="s">
        <v>193</v>
      </c>
      <c r="N689" s="65" t="s">
        <v>551</v>
      </c>
    </row>
    <row r="690" spans="1:14" ht="24.95" customHeight="1">
      <c r="B690" s="76" t="s">
        <v>44</v>
      </c>
      <c r="C690" s="27" t="s">
        <v>45</v>
      </c>
      <c r="D690" s="24" t="s">
        <v>1271</v>
      </c>
      <c r="E690" s="46" t="s">
        <v>1272</v>
      </c>
      <c r="F690" s="46" t="s">
        <v>20</v>
      </c>
      <c r="G690" s="48">
        <v>27957</v>
      </c>
      <c r="H690" s="73" t="s">
        <v>1225</v>
      </c>
      <c r="I690" s="63" t="s">
        <v>22</v>
      </c>
      <c r="J690" s="26" t="s">
        <v>50</v>
      </c>
      <c r="K690" s="64">
        <v>40287</v>
      </c>
      <c r="L690" s="64">
        <v>40287</v>
      </c>
      <c r="M690" s="65" t="s">
        <v>193</v>
      </c>
      <c r="N690" s="65" t="s">
        <v>551</v>
      </c>
    </row>
    <row r="691" spans="1:14" ht="24.95" customHeight="1">
      <c r="B691" s="76" t="s">
        <v>44</v>
      </c>
      <c r="C691" s="27" t="s">
        <v>45</v>
      </c>
      <c r="D691" s="24" t="s">
        <v>1273</v>
      </c>
      <c r="E691" s="26" t="s">
        <v>1274</v>
      </c>
      <c r="F691" s="46" t="s">
        <v>20</v>
      </c>
      <c r="G691" s="48">
        <v>28172</v>
      </c>
      <c r="H691" s="73" t="s">
        <v>1225</v>
      </c>
      <c r="I691" s="63" t="s">
        <v>22</v>
      </c>
      <c r="J691" s="26" t="s">
        <v>50</v>
      </c>
      <c r="K691" s="64">
        <v>40330</v>
      </c>
      <c r="L691" s="64">
        <v>40330</v>
      </c>
      <c r="M691" s="65">
        <v>45108</v>
      </c>
      <c r="N691" s="65">
        <v>46934</v>
      </c>
    </row>
    <row r="692" spans="1:14" ht="24.95" customHeight="1">
      <c r="B692" s="76" t="s">
        <v>44</v>
      </c>
      <c r="C692" s="27" t="s">
        <v>45</v>
      </c>
      <c r="D692" s="24" t="s">
        <v>1275</v>
      </c>
      <c r="E692" s="26" t="s">
        <v>1276</v>
      </c>
      <c r="F692" s="46" t="s">
        <v>20</v>
      </c>
      <c r="G692" s="48">
        <v>29789</v>
      </c>
      <c r="H692" s="73" t="s">
        <v>1225</v>
      </c>
      <c r="I692" s="63" t="s">
        <v>22</v>
      </c>
      <c r="J692" s="26" t="s">
        <v>50</v>
      </c>
      <c r="K692" s="64">
        <v>42314</v>
      </c>
      <c r="L692" s="64">
        <v>42314</v>
      </c>
      <c r="M692" s="65">
        <v>45474</v>
      </c>
      <c r="N692" s="65">
        <v>47299</v>
      </c>
    </row>
    <row r="693" spans="1:14" ht="24.95" customHeight="1">
      <c r="A693" s="76">
        <v>7</v>
      </c>
      <c r="B693" s="76" t="s">
        <v>46</v>
      </c>
      <c r="C693" s="27" t="s">
        <v>1037</v>
      </c>
      <c r="D693" s="24" t="s">
        <v>1277</v>
      </c>
      <c r="E693" s="26" t="s">
        <v>1278</v>
      </c>
      <c r="F693" s="46" t="s">
        <v>29</v>
      </c>
      <c r="G693" s="48">
        <v>29576</v>
      </c>
      <c r="H693" s="73" t="s">
        <v>1225</v>
      </c>
      <c r="I693" s="63" t="s">
        <v>22</v>
      </c>
      <c r="J693" s="26" t="s">
        <v>50</v>
      </c>
      <c r="K693" s="64">
        <v>41024</v>
      </c>
      <c r="L693" s="64">
        <v>41024</v>
      </c>
      <c r="M693" s="65">
        <v>45839</v>
      </c>
      <c r="N693" s="65">
        <v>47664</v>
      </c>
    </row>
    <row r="694" spans="1:14" ht="24.95" customHeight="1">
      <c r="A694" s="76">
        <v>10</v>
      </c>
      <c r="B694" s="31" t="s">
        <v>1220</v>
      </c>
      <c r="C694" s="7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24.95" customHeight="1">
      <c r="B695" s="252" t="s">
        <v>1742</v>
      </c>
      <c r="C695" s="76"/>
      <c r="D695" s="35"/>
      <c r="E695" s="35"/>
      <c r="F695" s="35"/>
      <c r="G695" s="47"/>
      <c r="H695" s="215"/>
      <c r="I695" s="35"/>
      <c r="J695" s="35"/>
      <c r="K695" s="100"/>
      <c r="L695" s="100"/>
      <c r="M695" s="62"/>
      <c r="N695" s="62"/>
    </row>
    <row r="696" spans="1:14" ht="24.95" customHeight="1">
      <c r="B696" s="215"/>
      <c r="C696" s="76"/>
      <c r="D696" s="35"/>
      <c r="E696" s="35"/>
      <c r="F696" s="35"/>
      <c r="G696" s="47"/>
      <c r="H696" s="215"/>
      <c r="I696" s="35"/>
      <c r="J696" s="35"/>
      <c r="K696" s="100"/>
      <c r="L696" s="100"/>
      <c r="M696" s="62"/>
      <c r="N696" s="62"/>
    </row>
    <row r="697" spans="1:14" s="13" customFormat="1" ht="24.95" customHeight="1">
      <c r="A697" s="76"/>
      <c r="B697" s="137" t="s">
        <v>1280</v>
      </c>
      <c r="C697" s="198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24.95" customHeight="1">
      <c r="B698" s="126" t="s">
        <v>1802</v>
      </c>
      <c r="C698" s="198"/>
      <c r="D698" s="122" t="s">
        <v>52</v>
      </c>
      <c r="E698" s="126"/>
      <c r="F698" s="126"/>
      <c r="G698" s="133"/>
      <c r="H698" s="137"/>
      <c r="I698" s="126"/>
      <c r="J698" s="126"/>
      <c r="K698" s="280"/>
      <c r="L698" s="280"/>
      <c r="M698" s="281"/>
      <c r="N698" s="281"/>
    </row>
    <row r="699" spans="1:14" ht="24.95" customHeight="1">
      <c r="B699" s="85" t="s">
        <v>320</v>
      </c>
      <c r="C699" s="27" t="s">
        <v>129</v>
      </c>
      <c r="D699" s="24" t="s">
        <v>1294</v>
      </c>
      <c r="E699" s="26" t="s">
        <v>1295</v>
      </c>
      <c r="F699" s="46" t="s">
        <v>20</v>
      </c>
      <c r="G699" s="48">
        <v>30168</v>
      </c>
      <c r="H699" s="73" t="s">
        <v>1283</v>
      </c>
      <c r="I699" s="63" t="s">
        <v>22</v>
      </c>
      <c r="J699" s="26" t="s">
        <v>62</v>
      </c>
      <c r="K699" s="64">
        <v>40968</v>
      </c>
      <c r="L699" s="64">
        <v>45747</v>
      </c>
      <c r="M699" s="65">
        <v>45108</v>
      </c>
      <c r="N699" s="65">
        <v>46934</v>
      </c>
    </row>
    <row r="700" spans="1:14" ht="24.95" customHeight="1">
      <c r="A700" s="83"/>
      <c r="B700" s="76" t="s">
        <v>524</v>
      </c>
      <c r="C700" s="27" t="s">
        <v>123</v>
      </c>
      <c r="D700" s="24" t="s">
        <v>1286</v>
      </c>
      <c r="E700" s="49" t="s">
        <v>1287</v>
      </c>
      <c r="F700" s="46" t="s">
        <v>20</v>
      </c>
      <c r="G700" s="48">
        <v>25102</v>
      </c>
      <c r="H700" s="73" t="s">
        <v>1283</v>
      </c>
      <c r="I700" s="63" t="s">
        <v>22</v>
      </c>
      <c r="J700" s="26" t="s">
        <v>62</v>
      </c>
      <c r="K700" s="64">
        <v>39356</v>
      </c>
      <c r="L700" s="64">
        <v>39356</v>
      </c>
      <c r="M700" s="65">
        <v>45108</v>
      </c>
      <c r="N700" s="62">
        <v>46934</v>
      </c>
    </row>
    <row r="701" spans="1:14" ht="24.95" customHeight="1">
      <c r="A701" s="83"/>
      <c r="B701" s="76" t="s">
        <v>524</v>
      </c>
      <c r="C701" s="27" t="s">
        <v>123</v>
      </c>
      <c r="D701" s="24" t="s">
        <v>1288</v>
      </c>
      <c r="E701" s="26" t="s">
        <v>1289</v>
      </c>
      <c r="F701" s="46" t="s">
        <v>29</v>
      </c>
      <c r="G701" s="48">
        <v>25778</v>
      </c>
      <c r="H701" s="73" t="s">
        <v>1283</v>
      </c>
      <c r="I701" s="63" t="s">
        <v>22</v>
      </c>
      <c r="J701" s="26" t="s">
        <v>62</v>
      </c>
      <c r="K701" s="64">
        <v>37599</v>
      </c>
      <c r="L701" s="64">
        <v>39630</v>
      </c>
      <c r="M701" s="65">
        <v>45108</v>
      </c>
      <c r="N701" s="62">
        <v>46934</v>
      </c>
    </row>
    <row r="702" spans="1:14" ht="24.95" customHeight="1">
      <c r="A702" s="83">
        <v>1</v>
      </c>
      <c r="B702" s="76" t="s">
        <v>524</v>
      </c>
      <c r="C702" s="27" t="s">
        <v>123</v>
      </c>
      <c r="D702" s="24" t="s">
        <v>1290</v>
      </c>
      <c r="E702" s="26" t="s">
        <v>1291</v>
      </c>
      <c r="F702" s="46" t="s">
        <v>20</v>
      </c>
      <c r="G702" s="48">
        <v>29238</v>
      </c>
      <c r="H702" s="73" t="s">
        <v>1283</v>
      </c>
      <c r="I702" s="63" t="s">
        <v>22</v>
      </c>
      <c r="J702" s="26" t="s">
        <v>62</v>
      </c>
      <c r="K702" s="64">
        <v>42075</v>
      </c>
      <c r="L702" s="64">
        <v>42075</v>
      </c>
      <c r="M702" s="65">
        <v>45474</v>
      </c>
      <c r="N702" s="65">
        <v>47299</v>
      </c>
    </row>
    <row r="703" spans="1:14" ht="24.95" customHeight="1">
      <c r="A703" s="76">
        <v>4</v>
      </c>
      <c r="B703" s="85" t="s">
        <v>621</v>
      </c>
      <c r="C703" s="27" t="s">
        <v>279</v>
      </c>
      <c r="D703" s="24" t="s">
        <v>1296</v>
      </c>
      <c r="E703" s="262" t="s">
        <v>1297</v>
      </c>
      <c r="F703" s="46" t="s">
        <v>20</v>
      </c>
      <c r="G703" s="48">
        <v>33888</v>
      </c>
      <c r="H703" s="73" t="s">
        <v>1283</v>
      </c>
      <c r="I703" s="63" t="s">
        <v>22</v>
      </c>
      <c r="J703" s="26" t="s">
        <v>70</v>
      </c>
      <c r="K703" s="64">
        <v>43661</v>
      </c>
      <c r="L703" s="64">
        <v>45392</v>
      </c>
      <c r="M703" s="62">
        <v>45474</v>
      </c>
      <c r="N703" s="62">
        <v>47299</v>
      </c>
    </row>
    <row r="704" spans="1:14" ht="24.95" customHeight="1">
      <c r="A704" s="83">
        <v>5</v>
      </c>
      <c r="B704" s="76" t="s">
        <v>627</v>
      </c>
      <c r="C704" s="27" t="s">
        <v>287</v>
      </c>
      <c r="D704" s="24" t="s">
        <v>1298</v>
      </c>
      <c r="E704" s="26" t="s">
        <v>1299</v>
      </c>
      <c r="F704" s="46" t="s">
        <v>29</v>
      </c>
      <c r="G704" s="48">
        <v>30228</v>
      </c>
      <c r="H704" s="73" t="s">
        <v>1283</v>
      </c>
      <c r="I704" s="63" t="s">
        <v>22</v>
      </c>
      <c r="J704" s="26" t="s">
        <v>70</v>
      </c>
      <c r="K704" s="64">
        <v>40541</v>
      </c>
      <c r="L704" s="64">
        <v>40541</v>
      </c>
      <c r="M704" s="65">
        <v>45108</v>
      </c>
      <c r="N704" s="62">
        <v>46934</v>
      </c>
    </row>
    <row r="705" spans="1:14" ht="24.95" customHeight="1">
      <c r="A705" s="76">
        <v>6</v>
      </c>
      <c r="B705" s="76" t="s">
        <v>627</v>
      </c>
      <c r="C705" s="27" t="s">
        <v>287</v>
      </c>
      <c r="D705" s="30" t="s">
        <v>1188</v>
      </c>
      <c r="E705" s="26" t="s">
        <v>1189</v>
      </c>
      <c r="F705" s="46" t="s">
        <v>20</v>
      </c>
      <c r="G705" s="48">
        <v>28444</v>
      </c>
      <c r="H705" s="73" t="s">
        <v>1283</v>
      </c>
      <c r="I705" s="63" t="s">
        <v>22</v>
      </c>
      <c r="J705" s="26" t="s">
        <v>70</v>
      </c>
      <c r="K705" s="64">
        <v>41029</v>
      </c>
      <c r="L705" s="64">
        <v>41029</v>
      </c>
      <c r="M705" s="65">
        <v>45839</v>
      </c>
      <c r="N705" s="65">
        <v>47664</v>
      </c>
    </row>
    <row r="706" spans="1:14" ht="24.95" customHeight="1">
      <c r="A706" s="83">
        <v>7</v>
      </c>
      <c r="B706" s="76" t="s">
        <v>360</v>
      </c>
      <c r="C706" s="27" t="s">
        <v>67</v>
      </c>
      <c r="D706" s="24" t="s">
        <v>1314</v>
      </c>
      <c r="E706" s="262" t="s">
        <v>1315</v>
      </c>
      <c r="F706" s="46" t="s">
        <v>20</v>
      </c>
      <c r="G706" s="48">
        <v>28792</v>
      </c>
      <c r="H706" s="73" t="s">
        <v>1283</v>
      </c>
      <c r="I706" s="63" t="s">
        <v>22</v>
      </c>
      <c r="J706" s="26" t="s">
        <v>70</v>
      </c>
      <c r="K706" s="64">
        <v>39422</v>
      </c>
      <c r="L706" s="64">
        <v>42370</v>
      </c>
      <c r="M706" s="65">
        <v>45108</v>
      </c>
      <c r="N706" s="62">
        <v>46934</v>
      </c>
    </row>
    <row r="707" spans="1:14" ht="24.95" customHeight="1">
      <c r="A707" s="76">
        <v>8</v>
      </c>
      <c r="B707" s="306" t="s">
        <v>1789</v>
      </c>
      <c r="C707" s="277"/>
      <c r="D707" s="30"/>
      <c r="E707" s="26"/>
      <c r="F707" s="46"/>
      <c r="G707" s="48"/>
      <c r="H707" s="73"/>
      <c r="I707" s="63"/>
      <c r="J707" s="26"/>
      <c r="K707" s="64"/>
      <c r="L707" s="64"/>
      <c r="M707" s="65"/>
      <c r="N707" s="65"/>
    </row>
    <row r="708" spans="1:14" ht="24.95" customHeight="1">
      <c r="A708" s="76">
        <v>10</v>
      </c>
      <c r="B708" s="83" t="s">
        <v>1803</v>
      </c>
      <c r="C708" s="27"/>
      <c r="D708" s="24"/>
      <c r="E708" s="262"/>
      <c r="F708" s="46"/>
      <c r="G708" s="48"/>
      <c r="H708" s="63"/>
      <c r="I708" s="63"/>
      <c r="J708" s="26"/>
      <c r="K708" s="64"/>
      <c r="L708" s="64"/>
      <c r="M708" s="65"/>
      <c r="N708" s="62"/>
    </row>
    <row r="709" spans="1:14" ht="24.95" customHeight="1">
      <c r="A709" s="76">
        <v>12</v>
      </c>
      <c r="B709" s="76" t="s">
        <v>627</v>
      </c>
      <c r="C709" s="27" t="s">
        <v>287</v>
      </c>
      <c r="D709" s="24" t="s">
        <v>1308</v>
      </c>
      <c r="E709" s="49" t="s">
        <v>1309</v>
      </c>
      <c r="F709" s="46" t="s">
        <v>29</v>
      </c>
      <c r="G709" s="48">
        <v>32529</v>
      </c>
      <c r="H709" s="73" t="s">
        <v>1283</v>
      </c>
      <c r="I709" s="63" t="s">
        <v>22</v>
      </c>
      <c r="J709" s="26" t="s">
        <v>70</v>
      </c>
      <c r="K709" s="64">
        <v>43252</v>
      </c>
      <c r="L709" s="64">
        <v>43252</v>
      </c>
      <c r="M709" s="65">
        <v>45108</v>
      </c>
      <c r="N709" s="62">
        <v>46934</v>
      </c>
    </row>
    <row r="710" spans="1:14" ht="24.95" customHeight="1">
      <c r="A710" s="83">
        <v>13</v>
      </c>
      <c r="B710" s="76" t="s">
        <v>627</v>
      </c>
      <c r="C710" s="27" t="s">
        <v>287</v>
      </c>
      <c r="D710" s="24" t="s">
        <v>1310</v>
      </c>
      <c r="E710" s="46" t="s">
        <v>1311</v>
      </c>
      <c r="F710" s="46" t="s">
        <v>20</v>
      </c>
      <c r="G710" s="48">
        <v>34963</v>
      </c>
      <c r="H710" s="73" t="s">
        <v>1283</v>
      </c>
      <c r="I710" s="63" t="s">
        <v>22</v>
      </c>
      <c r="J710" s="26" t="s">
        <v>70</v>
      </c>
      <c r="K710" s="64">
        <v>43726</v>
      </c>
      <c r="L710" s="64">
        <v>43726</v>
      </c>
      <c r="M710" s="65">
        <v>43724</v>
      </c>
      <c r="N710" s="62">
        <v>47664</v>
      </c>
    </row>
    <row r="711" spans="1:14" ht="24.95" customHeight="1">
      <c r="B711" s="306" t="s">
        <v>1789</v>
      </c>
      <c r="C711" s="199"/>
      <c r="D711" s="24"/>
      <c r="E711" s="46"/>
      <c r="F711" s="46"/>
      <c r="G711" s="48"/>
      <c r="H711" s="73"/>
      <c r="I711" s="63"/>
      <c r="J711" s="26"/>
      <c r="K711" s="64"/>
      <c r="L711" s="64"/>
      <c r="M711" s="65"/>
      <c r="N711" s="62"/>
    </row>
    <row r="712" spans="1:14" ht="24.95" customHeight="1">
      <c r="B712" s="85" t="s">
        <v>1804</v>
      </c>
      <c r="C712" s="199"/>
      <c r="D712" s="24"/>
      <c r="E712" s="46"/>
      <c r="F712" s="46"/>
      <c r="G712" s="48"/>
      <c r="H712" s="73"/>
      <c r="I712" s="63"/>
      <c r="J712" s="26"/>
      <c r="K712" s="64"/>
      <c r="L712" s="64"/>
      <c r="M712" s="65"/>
      <c r="N712" s="62"/>
    </row>
    <row r="713" spans="1:14" ht="24.95" customHeight="1">
      <c r="B713" s="76" t="s">
        <v>1805</v>
      </c>
      <c r="C713" s="27" t="s">
        <v>123</v>
      </c>
      <c r="D713" s="24" t="s">
        <v>1849</v>
      </c>
      <c r="E713" s="46" t="s">
        <v>1851</v>
      </c>
      <c r="F713" s="46" t="s">
        <v>29</v>
      </c>
      <c r="G713" s="48">
        <v>36035</v>
      </c>
      <c r="H713" s="73" t="s">
        <v>1283</v>
      </c>
      <c r="I713" s="63" t="s">
        <v>22</v>
      </c>
      <c r="J713" s="26" t="s">
        <v>62</v>
      </c>
      <c r="K713" s="64">
        <v>46009</v>
      </c>
      <c r="L713" s="64">
        <v>46009</v>
      </c>
      <c r="M713" s="65">
        <v>46027</v>
      </c>
      <c r="N713" s="62">
        <v>47853</v>
      </c>
    </row>
    <row r="714" spans="1:14" ht="24.95" customHeight="1">
      <c r="A714" s="76">
        <v>14</v>
      </c>
      <c r="B714" s="306" t="s">
        <v>1789</v>
      </c>
      <c r="C714" s="199"/>
      <c r="D714" s="24"/>
      <c r="E714" s="46"/>
      <c r="F714" s="46"/>
      <c r="G714" s="48"/>
      <c r="H714" s="73"/>
      <c r="I714" s="63"/>
      <c r="J714" s="26"/>
      <c r="K714" s="64"/>
      <c r="L714" s="64"/>
      <c r="M714" s="65"/>
      <c r="N714" s="62"/>
    </row>
    <row r="715" spans="1:14" ht="24.95" customHeight="1">
      <c r="B715" s="306" t="s">
        <v>1806</v>
      </c>
      <c r="C715" s="199"/>
      <c r="D715" s="24"/>
      <c r="E715" s="46"/>
      <c r="F715" s="46"/>
      <c r="G715" s="48"/>
      <c r="H715" s="73"/>
      <c r="I715" s="63"/>
      <c r="J715" s="26"/>
      <c r="K715" s="64"/>
      <c r="L715" s="64"/>
      <c r="M715" s="65"/>
      <c r="N715" s="62"/>
    </row>
    <row r="716" spans="1:14" ht="24.95" customHeight="1">
      <c r="B716" s="76" t="s">
        <v>291</v>
      </c>
      <c r="C716" s="199" t="s">
        <v>59</v>
      </c>
      <c r="D716" s="24"/>
      <c r="E716" s="46"/>
      <c r="F716" s="46"/>
      <c r="G716" s="48"/>
      <c r="H716" s="73"/>
      <c r="I716" s="63"/>
      <c r="J716" s="26"/>
      <c r="K716" s="64"/>
      <c r="L716" s="64"/>
      <c r="M716" s="65"/>
      <c r="N716" s="62"/>
    </row>
    <row r="717" spans="1:14" ht="24.95" customHeight="1">
      <c r="B717" s="76" t="s">
        <v>320</v>
      </c>
      <c r="C717" s="199" t="s">
        <v>129</v>
      </c>
      <c r="D717" s="24" t="s">
        <v>1281</v>
      </c>
      <c r="E717" s="26" t="s">
        <v>1282</v>
      </c>
      <c r="F717" s="46" t="s">
        <v>20</v>
      </c>
      <c r="G717" s="48">
        <v>32301</v>
      </c>
      <c r="H717" s="73" t="s">
        <v>1283</v>
      </c>
      <c r="I717" s="63" t="s">
        <v>22</v>
      </c>
      <c r="J717" s="26" t="s">
        <v>62</v>
      </c>
      <c r="K717" s="64">
        <v>41022</v>
      </c>
      <c r="L717" s="64">
        <v>45278</v>
      </c>
      <c r="M717" s="65">
        <v>45839</v>
      </c>
      <c r="N717" s="62">
        <v>47664</v>
      </c>
    </row>
    <row r="718" spans="1:14" ht="24.95" customHeight="1">
      <c r="B718" s="76" t="s">
        <v>524</v>
      </c>
      <c r="C718" s="199" t="s">
        <v>123</v>
      </c>
      <c r="D718" s="24" t="s">
        <v>1292</v>
      </c>
      <c r="E718" s="49" t="s">
        <v>1293</v>
      </c>
      <c r="F718" s="46" t="s">
        <v>20</v>
      </c>
      <c r="G718" s="48">
        <v>27703</v>
      </c>
      <c r="H718" s="73" t="s">
        <v>1283</v>
      </c>
      <c r="I718" s="63" t="s">
        <v>22</v>
      </c>
      <c r="J718" s="26" t="s">
        <v>62</v>
      </c>
      <c r="K718" s="64">
        <v>43202</v>
      </c>
      <c r="L718" s="64">
        <v>43202</v>
      </c>
      <c r="M718" s="65">
        <v>45108</v>
      </c>
      <c r="N718" s="62">
        <v>46934</v>
      </c>
    </row>
    <row r="719" spans="1:14" ht="24.95" customHeight="1">
      <c r="A719" s="83"/>
      <c r="B719" s="85" t="s">
        <v>627</v>
      </c>
      <c r="C719" s="27" t="s">
        <v>287</v>
      </c>
      <c r="D719" s="24" t="s">
        <v>1302</v>
      </c>
      <c r="E719" s="26" t="s">
        <v>1303</v>
      </c>
      <c r="F719" s="46" t="s">
        <v>20</v>
      </c>
      <c r="G719" s="48">
        <v>30916</v>
      </c>
      <c r="H719" s="63" t="s">
        <v>1283</v>
      </c>
      <c r="I719" s="63" t="s">
        <v>22</v>
      </c>
      <c r="J719" s="26" t="s">
        <v>70</v>
      </c>
      <c r="K719" s="64">
        <v>40974</v>
      </c>
      <c r="L719" s="64">
        <v>40974</v>
      </c>
      <c r="M719" s="62">
        <v>45474</v>
      </c>
      <c r="N719" s="62">
        <v>47299</v>
      </c>
    </row>
    <row r="720" spans="1:14" ht="24.95" customHeight="1">
      <c r="A720" s="76">
        <v>3</v>
      </c>
      <c r="B720" s="76" t="str">
        <f>$B$719</f>
        <v>Technician</v>
      </c>
      <c r="C720" s="27" t="s">
        <v>287</v>
      </c>
      <c r="D720" s="24" t="s">
        <v>1312</v>
      </c>
      <c r="E720" s="46" t="s">
        <v>1313</v>
      </c>
      <c r="F720" s="46" t="s">
        <v>29</v>
      </c>
      <c r="G720" s="48">
        <v>34886</v>
      </c>
      <c r="H720" s="73" t="s">
        <v>1283</v>
      </c>
      <c r="I720" s="63" t="s">
        <v>22</v>
      </c>
      <c r="J720" s="26" t="s">
        <v>70</v>
      </c>
      <c r="K720" s="64">
        <v>43732</v>
      </c>
      <c r="L720" s="64">
        <v>43732</v>
      </c>
      <c r="M720" s="65">
        <v>45839</v>
      </c>
      <c r="N720" s="62">
        <v>47664</v>
      </c>
    </row>
    <row r="721" spans="1:14" ht="24.95" customHeight="1">
      <c r="A721" s="76">
        <v>4</v>
      </c>
      <c r="B721" s="76" t="str">
        <f t="shared" ref="B721:B722" si="6">$B$719</f>
        <v>Technician</v>
      </c>
      <c r="C721" s="27" t="s">
        <v>287</v>
      </c>
      <c r="D721" s="24" t="s">
        <v>1304</v>
      </c>
      <c r="E721" s="26" t="s">
        <v>1305</v>
      </c>
      <c r="F721" s="46" t="s">
        <v>29</v>
      </c>
      <c r="G721" s="48">
        <v>31358</v>
      </c>
      <c r="H721" s="73" t="s">
        <v>1283</v>
      </c>
      <c r="I721" s="63" t="s">
        <v>22</v>
      </c>
      <c r="J721" s="26" t="s">
        <v>70</v>
      </c>
      <c r="K721" s="64">
        <v>40974</v>
      </c>
      <c r="L721" s="64">
        <v>40974</v>
      </c>
      <c r="M721" s="65">
        <v>45108</v>
      </c>
      <c r="N721" s="62">
        <v>46934</v>
      </c>
    </row>
    <row r="722" spans="1:14" ht="24.95" customHeight="1">
      <c r="B722" s="76" t="str">
        <f t="shared" si="6"/>
        <v>Technician</v>
      </c>
      <c r="C722" s="27" t="s">
        <v>287</v>
      </c>
      <c r="D722" s="24" t="s">
        <v>1306</v>
      </c>
      <c r="E722" s="26" t="s">
        <v>1307</v>
      </c>
      <c r="F722" s="46" t="s">
        <v>20</v>
      </c>
      <c r="G722" s="48">
        <v>31903</v>
      </c>
      <c r="H722" s="73" t="s">
        <v>1283</v>
      </c>
      <c r="I722" s="63" t="s">
        <v>22</v>
      </c>
      <c r="J722" s="26" t="s">
        <v>70</v>
      </c>
      <c r="K722" s="64">
        <v>42739</v>
      </c>
      <c r="L722" s="64">
        <v>42739</v>
      </c>
      <c r="M722" s="65">
        <v>45108</v>
      </c>
      <c r="N722" s="62">
        <v>46934</v>
      </c>
    </row>
    <row r="723" spans="1:14" ht="24.95" customHeight="1">
      <c r="B723" s="77" t="s">
        <v>1789</v>
      </c>
      <c r="C723" s="199"/>
      <c r="D723" s="24"/>
      <c r="E723" s="46"/>
      <c r="F723" s="46"/>
      <c r="G723" s="48"/>
      <c r="H723" s="73"/>
      <c r="I723" s="63"/>
      <c r="J723" s="26"/>
      <c r="K723" s="64"/>
      <c r="L723" s="64"/>
      <c r="M723" s="65"/>
      <c r="N723" s="62"/>
    </row>
    <row r="724" spans="1:14" ht="24.95" customHeight="1">
      <c r="A724" s="76">
        <v>7</v>
      </c>
      <c r="B724" s="77" t="s">
        <v>1807</v>
      </c>
      <c r="C724" s="199"/>
      <c r="D724" s="24"/>
      <c r="E724" s="46"/>
      <c r="F724" s="46"/>
      <c r="G724" s="48"/>
      <c r="H724" s="73"/>
      <c r="I724" s="63"/>
      <c r="J724" s="26"/>
      <c r="K724" s="64"/>
      <c r="L724" s="64"/>
      <c r="M724" s="65"/>
      <c r="N724" s="62"/>
    </row>
    <row r="725" spans="1:14" ht="24.95" customHeight="1">
      <c r="A725" s="76">
        <v>8</v>
      </c>
      <c r="B725" s="31" t="s">
        <v>1197</v>
      </c>
      <c r="C725" s="198"/>
      <c r="D725" s="122"/>
      <c r="E725" s="35"/>
      <c r="F725" s="35"/>
      <c r="G725" s="47"/>
      <c r="H725" s="215"/>
      <c r="I725" s="35"/>
      <c r="J725" s="35"/>
      <c r="K725" s="100"/>
      <c r="L725" s="100"/>
      <c r="M725" s="62"/>
      <c r="N725" s="62"/>
    </row>
    <row r="726" spans="1:14" ht="24.95" customHeight="1">
      <c r="B726" s="35" t="s">
        <v>650</v>
      </c>
      <c r="C726" s="27" t="s">
        <v>55</v>
      </c>
      <c r="D726" s="24" t="s">
        <v>1284</v>
      </c>
      <c r="E726" s="26" t="s">
        <v>1285</v>
      </c>
      <c r="F726" s="46" t="s">
        <v>20</v>
      </c>
      <c r="G726" s="48">
        <v>26942</v>
      </c>
      <c r="H726" s="73" t="s">
        <v>1283</v>
      </c>
      <c r="I726" s="63" t="s">
        <v>22</v>
      </c>
      <c r="J726" s="26" t="s">
        <v>62</v>
      </c>
      <c r="K726" s="64">
        <v>39322</v>
      </c>
      <c r="L726" s="64">
        <v>45810</v>
      </c>
      <c r="M726" s="62">
        <v>45474</v>
      </c>
      <c r="N726" s="62">
        <v>47299</v>
      </c>
    </row>
    <row r="727" spans="1:14" s="3" customFormat="1" ht="24.95" customHeight="1">
      <c r="A727" s="76">
        <v>9</v>
      </c>
      <c r="B727" s="35" t="s">
        <v>543</v>
      </c>
      <c r="C727" s="27" t="s">
        <v>39</v>
      </c>
      <c r="D727" s="30" t="s">
        <v>1316</v>
      </c>
      <c r="E727" s="44" t="s">
        <v>1317</v>
      </c>
      <c r="F727" s="35" t="s">
        <v>20</v>
      </c>
      <c r="G727" s="62">
        <v>30796</v>
      </c>
      <c r="H727" s="245" t="s">
        <v>1283</v>
      </c>
      <c r="I727" s="246" t="s">
        <v>22</v>
      </c>
      <c r="J727" s="247" t="s">
        <v>30</v>
      </c>
      <c r="K727" s="100">
        <v>42692</v>
      </c>
      <c r="L727" s="100">
        <v>44256</v>
      </c>
      <c r="M727" s="62">
        <v>45108</v>
      </c>
      <c r="N727" s="62">
        <v>46934</v>
      </c>
    </row>
    <row r="728" spans="1:14" s="3" customFormat="1" ht="24.95" customHeight="1">
      <c r="A728" s="76"/>
      <c r="B728" s="76" t="s">
        <v>83</v>
      </c>
      <c r="C728" s="27" t="s">
        <v>39</v>
      </c>
      <c r="D728" s="24" t="s">
        <v>1318</v>
      </c>
      <c r="E728" s="26" t="s">
        <v>1319</v>
      </c>
      <c r="F728" s="46" t="s">
        <v>20</v>
      </c>
      <c r="G728" s="48">
        <v>31169</v>
      </c>
      <c r="H728" s="73" t="s">
        <v>1283</v>
      </c>
      <c r="I728" s="63" t="s">
        <v>22</v>
      </c>
      <c r="J728" s="26" t="s">
        <v>30</v>
      </c>
      <c r="K728" s="64">
        <v>39988</v>
      </c>
      <c r="L728" s="64">
        <v>39988</v>
      </c>
      <c r="M728" s="62">
        <v>45474</v>
      </c>
      <c r="N728" s="62">
        <v>47299</v>
      </c>
    </row>
    <row r="729" spans="1:14" s="3" customFormat="1" ht="24.95" customHeight="1">
      <c r="A729" s="76"/>
      <c r="B729" s="76" t="s">
        <v>212</v>
      </c>
      <c r="C729" s="27" t="s">
        <v>39</v>
      </c>
      <c r="D729" s="84" t="s">
        <v>1320</v>
      </c>
      <c r="E729" s="26" t="s">
        <v>1321</v>
      </c>
      <c r="F729" s="46" t="s">
        <v>29</v>
      </c>
      <c r="G729" s="48">
        <v>28491</v>
      </c>
      <c r="H729" s="73" t="s">
        <v>1283</v>
      </c>
      <c r="I729" s="63" t="s">
        <v>22</v>
      </c>
      <c r="J729" s="26" t="s">
        <v>30</v>
      </c>
      <c r="K729" s="64">
        <v>40584</v>
      </c>
      <c r="L729" s="64">
        <v>44105</v>
      </c>
      <c r="M729" s="62">
        <v>45474</v>
      </c>
      <c r="N729" s="62">
        <v>47299</v>
      </c>
    </row>
    <row r="730" spans="1:14" s="3" customFormat="1" ht="24.95" customHeight="1">
      <c r="A730" s="76">
        <v>7</v>
      </c>
      <c r="B730" s="85" t="s">
        <v>1199</v>
      </c>
      <c r="C730" s="27" t="s">
        <v>39</v>
      </c>
      <c r="D730" s="24" t="s">
        <v>1322</v>
      </c>
      <c r="E730" s="26" t="s">
        <v>1323</v>
      </c>
      <c r="F730" s="46" t="s">
        <v>29</v>
      </c>
      <c r="G730" s="48">
        <v>30126</v>
      </c>
      <c r="H730" s="73" t="s">
        <v>1283</v>
      </c>
      <c r="I730" s="63" t="s">
        <v>22</v>
      </c>
      <c r="J730" s="26" t="s">
        <v>30</v>
      </c>
      <c r="K730" s="64">
        <v>39842</v>
      </c>
      <c r="L730" s="64">
        <v>45490</v>
      </c>
      <c r="M730" s="62">
        <v>45108</v>
      </c>
      <c r="N730" s="62" t="s">
        <v>927</v>
      </c>
    </row>
    <row r="731" spans="1:14" s="3" customFormat="1" ht="24.95" customHeight="1">
      <c r="A731" s="77"/>
      <c r="B731" s="24" t="s">
        <v>540</v>
      </c>
      <c r="C731" s="27" t="s">
        <v>39</v>
      </c>
      <c r="D731" s="24" t="s">
        <v>767</v>
      </c>
      <c r="E731" s="26" t="s">
        <v>768</v>
      </c>
      <c r="F731" s="26" t="s">
        <v>29</v>
      </c>
      <c r="G731" s="43">
        <v>24809</v>
      </c>
      <c r="H731" s="73" t="s">
        <v>1283</v>
      </c>
      <c r="I731" s="52" t="s">
        <v>22</v>
      </c>
      <c r="J731" s="26" t="s">
        <v>30</v>
      </c>
      <c r="K731" s="53">
        <v>34468</v>
      </c>
      <c r="L731" s="53">
        <v>40422</v>
      </c>
      <c r="M731" s="72">
        <v>47300</v>
      </c>
      <c r="N731" s="72">
        <v>47299</v>
      </c>
    </row>
    <row r="732" spans="1:14" s="3" customFormat="1" ht="24.95" customHeight="1">
      <c r="A732" s="76"/>
      <c r="B732" s="85" t="s">
        <v>40</v>
      </c>
      <c r="C732" s="27" t="s">
        <v>41</v>
      </c>
      <c r="D732" s="24" t="s">
        <v>1326</v>
      </c>
      <c r="E732" s="26" t="s">
        <v>1327</v>
      </c>
      <c r="F732" s="46" t="s">
        <v>29</v>
      </c>
      <c r="G732" s="48">
        <v>27154</v>
      </c>
      <c r="H732" s="73" t="s">
        <v>1283</v>
      </c>
      <c r="I732" s="63" t="s">
        <v>22</v>
      </c>
      <c r="J732" s="26" t="s">
        <v>30</v>
      </c>
      <c r="K732" s="64">
        <v>39426</v>
      </c>
      <c r="L732" s="64">
        <v>45392</v>
      </c>
      <c r="M732" s="62">
        <v>45474</v>
      </c>
      <c r="N732" s="62">
        <v>47299</v>
      </c>
    </row>
    <row r="733" spans="1:14" ht="24.95" customHeight="1">
      <c r="B733" s="85" t="s">
        <v>393</v>
      </c>
      <c r="C733" s="27" t="s">
        <v>85</v>
      </c>
      <c r="D733" s="84" t="s">
        <v>1328</v>
      </c>
      <c r="E733" s="26" t="s">
        <v>1329</v>
      </c>
      <c r="F733" s="46" t="s">
        <v>20</v>
      </c>
      <c r="G733" s="48">
        <v>28043</v>
      </c>
      <c r="H733" s="73" t="s">
        <v>1283</v>
      </c>
      <c r="I733" s="63" t="s">
        <v>22</v>
      </c>
      <c r="J733" s="26" t="s">
        <v>30</v>
      </c>
      <c r="K733" s="64">
        <v>39507</v>
      </c>
      <c r="L733" s="64">
        <v>39507</v>
      </c>
      <c r="M733" s="65">
        <v>45839</v>
      </c>
      <c r="N733" s="62">
        <v>47664</v>
      </c>
    </row>
    <row r="734" spans="1:14" ht="24.95" customHeight="1">
      <c r="A734" s="76">
        <v>2</v>
      </c>
      <c r="B734" s="76" t="s">
        <v>226</v>
      </c>
      <c r="C734" s="27" t="s">
        <v>85</v>
      </c>
      <c r="D734" s="24" t="s">
        <v>1330</v>
      </c>
      <c r="E734" s="46" t="s">
        <v>1331</v>
      </c>
      <c r="F734" s="46" t="s">
        <v>29</v>
      </c>
      <c r="G734" s="48">
        <v>31284</v>
      </c>
      <c r="H734" s="73" t="s">
        <v>1283</v>
      </c>
      <c r="I734" s="63" t="s">
        <v>22</v>
      </c>
      <c r="J734" s="26" t="s">
        <v>30</v>
      </c>
      <c r="K734" s="64">
        <v>40511</v>
      </c>
      <c r="L734" s="64">
        <v>40511</v>
      </c>
      <c r="M734" s="65" t="s">
        <v>1056</v>
      </c>
      <c r="N734" s="65" t="s">
        <v>1057</v>
      </c>
    </row>
    <row r="735" spans="1:14" ht="24.95" customHeight="1">
      <c r="B735" s="76" t="s">
        <v>226</v>
      </c>
      <c r="C735" s="27" t="s">
        <v>85</v>
      </c>
      <c r="D735" s="30" t="s">
        <v>1332</v>
      </c>
      <c r="E735" s="26" t="s">
        <v>1333</v>
      </c>
      <c r="F735" s="46" t="s">
        <v>20</v>
      </c>
      <c r="G735" s="48">
        <v>32022</v>
      </c>
      <c r="H735" s="73" t="s">
        <v>1283</v>
      </c>
      <c r="I735" s="63" t="s">
        <v>22</v>
      </c>
      <c r="J735" s="26" t="s">
        <v>30</v>
      </c>
      <c r="K735" s="64">
        <v>41066</v>
      </c>
      <c r="L735" s="64">
        <v>45490</v>
      </c>
      <c r="M735" s="65">
        <v>45474</v>
      </c>
      <c r="N735" s="65">
        <v>47299</v>
      </c>
    </row>
    <row r="736" spans="1:14" ht="24.95" customHeight="1">
      <c r="B736" s="76" t="s">
        <v>44</v>
      </c>
      <c r="C736" s="27" t="s">
        <v>45</v>
      </c>
      <c r="D736" s="24" t="s">
        <v>1334</v>
      </c>
      <c r="E736" s="26" t="s">
        <v>1335</v>
      </c>
      <c r="F736" s="46" t="s">
        <v>20</v>
      </c>
      <c r="G736" s="48">
        <v>25969</v>
      </c>
      <c r="H736" s="73" t="s">
        <v>1283</v>
      </c>
      <c r="I736" s="63" t="s">
        <v>22</v>
      </c>
      <c r="J736" s="26" t="s">
        <v>50</v>
      </c>
      <c r="K736" s="64">
        <v>41024</v>
      </c>
      <c r="L736" s="64">
        <v>41024</v>
      </c>
      <c r="M736" s="65">
        <v>45474</v>
      </c>
      <c r="N736" s="65">
        <v>47299</v>
      </c>
    </row>
    <row r="737" spans="1:14" ht="24.95" customHeight="1">
      <c r="A737" s="76">
        <v>1</v>
      </c>
      <c r="B737" s="76" t="s">
        <v>44</v>
      </c>
      <c r="C737" s="27" t="s">
        <v>45</v>
      </c>
      <c r="D737" s="24" t="s">
        <v>1336</v>
      </c>
      <c r="E737" s="26" t="s">
        <v>1337</v>
      </c>
      <c r="F737" s="46" t="s">
        <v>20</v>
      </c>
      <c r="G737" s="48">
        <v>28007</v>
      </c>
      <c r="H737" s="73" t="s">
        <v>1283</v>
      </c>
      <c r="I737" s="63" t="s">
        <v>22</v>
      </c>
      <c r="J737" s="26" t="s">
        <v>50</v>
      </c>
      <c r="K737" s="64">
        <v>40541</v>
      </c>
      <c r="L737" s="64">
        <v>40541</v>
      </c>
      <c r="M737" s="65">
        <v>45108</v>
      </c>
      <c r="N737" s="62">
        <v>46934</v>
      </c>
    </row>
    <row r="738" spans="1:14" ht="24.95" customHeight="1">
      <c r="A738" s="76">
        <v>2</v>
      </c>
      <c r="B738" s="76" t="s">
        <v>44</v>
      </c>
      <c r="C738" s="27" t="s">
        <v>45</v>
      </c>
      <c r="D738" s="35" t="s">
        <v>1879</v>
      </c>
      <c r="E738" s="480" t="s">
        <v>1878</v>
      </c>
      <c r="F738" s="46" t="s">
        <v>20</v>
      </c>
      <c r="G738" s="481">
        <v>34271</v>
      </c>
      <c r="H738" s="73" t="s">
        <v>1283</v>
      </c>
      <c r="I738" s="63" t="s">
        <v>22</v>
      </c>
      <c r="J738" s="26" t="s">
        <v>50</v>
      </c>
      <c r="K738" s="482">
        <v>46029</v>
      </c>
      <c r="L738" s="482">
        <v>46029</v>
      </c>
      <c r="M738" s="483">
        <v>46057</v>
      </c>
      <c r="N738" s="483">
        <v>46057</v>
      </c>
    </row>
    <row r="739" spans="1:14" ht="24.95" customHeight="1">
      <c r="A739" s="76">
        <v>3</v>
      </c>
      <c r="B739" s="76" t="s">
        <v>100</v>
      </c>
      <c r="C739" s="27" t="s">
        <v>47</v>
      </c>
      <c r="D739" s="24" t="s">
        <v>1338</v>
      </c>
      <c r="E739" s="26" t="s">
        <v>1339</v>
      </c>
      <c r="F739" s="46" t="s">
        <v>20</v>
      </c>
      <c r="G739" s="48">
        <v>30533</v>
      </c>
      <c r="H739" s="73" t="s">
        <v>1283</v>
      </c>
      <c r="I739" s="63" t="s">
        <v>22</v>
      </c>
      <c r="J739" s="26" t="s">
        <v>50</v>
      </c>
      <c r="K739" s="64">
        <v>40974</v>
      </c>
      <c r="L739" s="64">
        <v>40974</v>
      </c>
      <c r="M739" s="65">
        <v>44013</v>
      </c>
      <c r="N739" s="62">
        <v>45838</v>
      </c>
    </row>
    <row r="740" spans="1:14" ht="24.95" customHeight="1">
      <c r="A740" s="76">
        <v>8</v>
      </c>
      <c r="B740" s="76" t="s">
        <v>100</v>
      </c>
      <c r="C740" s="27" t="s">
        <v>47</v>
      </c>
      <c r="D740" s="24" t="s">
        <v>1340</v>
      </c>
      <c r="E740" s="26" t="s">
        <v>1341</v>
      </c>
      <c r="F740" s="46" t="s">
        <v>20</v>
      </c>
      <c r="G740" s="48">
        <v>29712</v>
      </c>
      <c r="H740" s="73" t="s">
        <v>1283</v>
      </c>
      <c r="I740" s="63" t="s">
        <v>22</v>
      </c>
      <c r="J740" s="26" t="s">
        <v>50</v>
      </c>
      <c r="K740" s="64">
        <v>40974</v>
      </c>
      <c r="L740" s="64">
        <v>40974</v>
      </c>
      <c r="M740" s="65">
        <v>45839</v>
      </c>
      <c r="N740" s="62">
        <v>47664</v>
      </c>
    </row>
    <row r="741" spans="1:14" ht="24.95" customHeight="1">
      <c r="A741" s="76">
        <v>10</v>
      </c>
      <c r="B741" s="31" t="s">
        <v>1220</v>
      </c>
      <c r="C741" s="27"/>
      <c r="D741" s="24"/>
      <c r="E741" s="26"/>
      <c r="F741" s="46"/>
      <c r="G741" s="48"/>
      <c r="H741" s="73"/>
      <c r="I741" s="63"/>
      <c r="J741" s="26"/>
      <c r="K741" s="64"/>
      <c r="L741" s="64"/>
      <c r="M741" s="65"/>
      <c r="N741" s="62"/>
    </row>
    <row r="742" spans="1:14" ht="24.95" customHeight="1">
      <c r="B742" s="252" t="s">
        <v>1279</v>
      </c>
      <c r="C742" s="290"/>
      <c r="D742" s="35"/>
      <c r="E742" s="35"/>
      <c r="F742" s="35"/>
      <c r="G742" s="47"/>
      <c r="H742" s="215"/>
      <c r="I742" s="35"/>
      <c r="J742" s="35"/>
      <c r="K742" s="100"/>
      <c r="L742" s="100"/>
      <c r="M742" s="62"/>
      <c r="N742" s="62"/>
    </row>
    <row r="743" spans="1:14" ht="24.95" customHeight="1">
      <c r="B743" s="137" t="s">
        <v>1342</v>
      </c>
      <c r="C743" s="484"/>
      <c r="D743" s="484"/>
      <c r="E743" s="126"/>
      <c r="F743" s="126"/>
      <c r="G743" s="133"/>
      <c r="H743" s="137"/>
      <c r="I743" s="126"/>
      <c r="J743" s="126"/>
      <c r="K743" s="138"/>
      <c r="L743" s="100"/>
      <c r="M743" s="139"/>
      <c r="N743" s="139"/>
    </row>
    <row r="744" spans="1:14" ht="24.95" customHeight="1">
      <c r="B744" s="76" t="s">
        <v>320</v>
      </c>
      <c r="C744" s="27" t="s">
        <v>129</v>
      </c>
      <c r="D744" s="24" t="s">
        <v>1970</v>
      </c>
      <c r="E744" s="26" t="s">
        <v>1343</v>
      </c>
      <c r="F744" s="46" t="s">
        <v>20</v>
      </c>
      <c r="G744" s="48">
        <v>27750</v>
      </c>
      <c r="H744" s="73" t="s">
        <v>149</v>
      </c>
      <c r="I744" s="63" t="s">
        <v>22</v>
      </c>
      <c r="J744" s="26" t="s">
        <v>62</v>
      </c>
      <c r="K744" s="64">
        <v>38720</v>
      </c>
      <c r="L744" s="64">
        <v>44136</v>
      </c>
      <c r="M744" s="62">
        <v>45108</v>
      </c>
      <c r="N744" s="62">
        <v>46934</v>
      </c>
    </row>
    <row r="745" spans="1:14" ht="24.95" customHeight="1">
      <c r="B745" s="76" t="s">
        <v>320</v>
      </c>
      <c r="C745" s="27" t="s">
        <v>129</v>
      </c>
      <c r="D745" s="24" t="s">
        <v>1344</v>
      </c>
      <c r="E745" s="26" t="s">
        <v>1345</v>
      </c>
      <c r="F745" s="46" t="s">
        <v>20</v>
      </c>
      <c r="G745" s="48">
        <v>23948</v>
      </c>
      <c r="H745" s="73" t="s">
        <v>149</v>
      </c>
      <c r="I745" s="63" t="s">
        <v>22</v>
      </c>
      <c r="J745" s="26" t="s">
        <v>62</v>
      </c>
      <c r="K745" s="64">
        <v>39995</v>
      </c>
      <c r="L745" s="64">
        <v>44348</v>
      </c>
      <c r="M745" s="62">
        <v>45108</v>
      </c>
      <c r="N745" s="62">
        <v>46934</v>
      </c>
    </row>
    <row r="746" spans="1:14" ht="24.95" customHeight="1">
      <c r="B746" s="76" t="s">
        <v>320</v>
      </c>
      <c r="C746" s="27" t="s">
        <v>129</v>
      </c>
      <c r="D746" s="84" t="s">
        <v>1971</v>
      </c>
      <c r="E746" s="26" t="s">
        <v>1346</v>
      </c>
      <c r="F746" s="46" t="s">
        <v>29</v>
      </c>
      <c r="G746" s="48">
        <v>24183</v>
      </c>
      <c r="H746" s="73" t="s">
        <v>149</v>
      </c>
      <c r="I746" s="63" t="s">
        <v>22</v>
      </c>
      <c r="J746" s="26" t="s">
        <v>62</v>
      </c>
      <c r="K746" s="64">
        <v>39322</v>
      </c>
      <c r="L746" s="64">
        <v>44348</v>
      </c>
      <c r="M746" s="62">
        <v>45108</v>
      </c>
      <c r="N746" s="62">
        <v>46934</v>
      </c>
    </row>
    <row r="747" spans="1:14" ht="24.95" customHeight="1">
      <c r="A747" s="83">
        <v>1</v>
      </c>
      <c r="B747" s="76" t="s">
        <v>524</v>
      </c>
      <c r="C747" s="27" t="s">
        <v>123</v>
      </c>
      <c r="D747" s="84" t="s">
        <v>1349</v>
      </c>
      <c r="E747" s="26" t="s">
        <v>1350</v>
      </c>
      <c r="F747" s="46" t="s">
        <v>29</v>
      </c>
      <c r="G747" s="48">
        <v>26673</v>
      </c>
      <c r="H747" s="73" t="s">
        <v>149</v>
      </c>
      <c r="I747" s="63" t="s">
        <v>22</v>
      </c>
      <c r="J747" s="26" t="s">
        <v>62</v>
      </c>
      <c r="K747" s="64">
        <v>38720</v>
      </c>
      <c r="L747" s="64">
        <v>41671</v>
      </c>
      <c r="M747" s="62">
        <v>45474</v>
      </c>
      <c r="N747" s="62">
        <v>47299</v>
      </c>
    </row>
    <row r="748" spans="1:14" ht="24.95" customHeight="1">
      <c r="A748" s="76">
        <v>6</v>
      </c>
      <c r="B748" s="76" t="s">
        <v>524</v>
      </c>
      <c r="C748" s="27" t="s">
        <v>123</v>
      </c>
      <c r="D748" s="24" t="s">
        <v>1351</v>
      </c>
      <c r="E748" s="26" t="s">
        <v>1352</v>
      </c>
      <c r="F748" s="46" t="s">
        <v>20</v>
      </c>
      <c r="G748" s="48">
        <v>28823</v>
      </c>
      <c r="H748" s="73" t="s">
        <v>149</v>
      </c>
      <c r="I748" s="63" t="s">
        <v>22</v>
      </c>
      <c r="J748" s="26" t="s">
        <v>62</v>
      </c>
      <c r="K748" s="64">
        <v>40508</v>
      </c>
      <c r="L748" s="64">
        <v>41699</v>
      </c>
      <c r="M748" s="62">
        <v>45108</v>
      </c>
      <c r="N748" s="62">
        <v>46934</v>
      </c>
    </row>
    <row r="749" spans="1:14" ht="24.95" customHeight="1">
      <c r="B749" s="76" t="s">
        <v>524</v>
      </c>
      <c r="C749" s="27" t="s">
        <v>123</v>
      </c>
      <c r="D749" s="24" t="s">
        <v>1353</v>
      </c>
      <c r="E749" s="49" t="s">
        <v>1354</v>
      </c>
      <c r="F749" s="46" t="s">
        <v>20</v>
      </c>
      <c r="G749" s="48">
        <v>28106</v>
      </c>
      <c r="H749" s="73" t="s">
        <v>149</v>
      </c>
      <c r="I749" s="63" t="s">
        <v>22</v>
      </c>
      <c r="J749" s="26" t="s">
        <v>62</v>
      </c>
      <c r="K749" s="64">
        <v>43196</v>
      </c>
      <c r="L749" s="64">
        <v>43196</v>
      </c>
      <c r="M749" s="62">
        <v>45108</v>
      </c>
      <c r="N749" s="62">
        <v>46934</v>
      </c>
    </row>
    <row r="750" spans="1:14" ht="24.95" customHeight="1">
      <c r="A750" s="83"/>
      <c r="B750" s="76" t="s">
        <v>524</v>
      </c>
      <c r="C750" s="27" t="s">
        <v>123</v>
      </c>
      <c r="D750" s="24" t="s">
        <v>1355</v>
      </c>
      <c r="E750" s="262" t="s">
        <v>1356</v>
      </c>
      <c r="F750" s="46" t="s">
        <v>29</v>
      </c>
      <c r="G750" s="48">
        <v>32244</v>
      </c>
      <c r="H750" s="73" t="s">
        <v>149</v>
      </c>
      <c r="I750" s="63" t="s">
        <v>22</v>
      </c>
      <c r="J750" s="26" t="s">
        <v>62</v>
      </c>
      <c r="K750" s="64">
        <v>43605</v>
      </c>
      <c r="L750" s="64">
        <v>43605</v>
      </c>
      <c r="M750" s="62">
        <v>45474</v>
      </c>
      <c r="N750" s="62">
        <v>47299</v>
      </c>
    </row>
    <row r="751" spans="1:14" ht="24.95" customHeight="1">
      <c r="B751" s="76" t="s">
        <v>524</v>
      </c>
      <c r="C751" s="27" t="s">
        <v>123</v>
      </c>
      <c r="D751" s="102" t="s">
        <v>628</v>
      </c>
      <c r="E751" s="108" t="s">
        <v>629</v>
      </c>
      <c r="F751" s="87" t="s">
        <v>29</v>
      </c>
      <c r="G751" s="156">
        <v>32356</v>
      </c>
      <c r="H751" s="73" t="s">
        <v>149</v>
      </c>
      <c r="I751" s="166" t="s">
        <v>22</v>
      </c>
      <c r="J751" s="108" t="s">
        <v>70</v>
      </c>
      <c r="K751" s="167">
        <v>41024</v>
      </c>
      <c r="L751" s="167">
        <v>45747</v>
      </c>
      <c r="M751" s="160">
        <v>45748</v>
      </c>
      <c r="N751" s="160">
        <v>47573</v>
      </c>
    </row>
    <row r="752" spans="1:14" ht="24.95" customHeight="1">
      <c r="A752" s="83"/>
      <c r="B752" s="76" t="s">
        <v>360</v>
      </c>
      <c r="C752" s="76" t="s">
        <v>67</v>
      </c>
      <c r="D752" s="84" t="s">
        <v>1358</v>
      </c>
      <c r="E752" s="46" t="s">
        <v>1359</v>
      </c>
      <c r="F752" s="46" t="s">
        <v>20</v>
      </c>
      <c r="G752" s="48">
        <v>29449</v>
      </c>
      <c r="H752" s="73" t="s">
        <v>149</v>
      </c>
      <c r="I752" s="63" t="s">
        <v>22</v>
      </c>
      <c r="J752" s="26" t="s">
        <v>70</v>
      </c>
      <c r="K752" s="64">
        <v>40753</v>
      </c>
      <c r="L752" s="64">
        <v>42795</v>
      </c>
      <c r="M752" s="62">
        <v>45474</v>
      </c>
      <c r="N752" s="62">
        <v>47299</v>
      </c>
    </row>
    <row r="753" spans="1:14" ht="24.95" customHeight="1">
      <c r="A753" s="83"/>
      <c r="B753" s="76" t="s">
        <v>621</v>
      </c>
      <c r="C753" s="76" t="s">
        <v>279</v>
      </c>
      <c r="D753" s="24" t="s">
        <v>1360</v>
      </c>
      <c r="E753" s="26" t="s">
        <v>1361</v>
      </c>
      <c r="F753" s="46" t="s">
        <v>20</v>
      </c>
      <c r="G753" s="48">
        <v>27018</v>
      </c>
      <c r="H753" s="73" t="s">
        <v>149</v>
      </c>
      <c r="I753" s="63" t="s">
        <v>22</v>
      </c>
      <c r="J753" s="26" t="s">
        <v>70</v>
      </c>
      <c r="K753" s="64">
        <v>39842</v>
      </c>
      <c r="L753" s="64">
        <v>42795</v>
      </c>
      <c r="M753" s="62">
        <v>44933</v>
      </c>
      <c r="N753" s="62" t="s">
        <v>927</v>
      </c>
    </row>
    <row r="754" spans="1:14" s="3" customFormat="1" ht="24.95" customHeight="1">
      <c r="A754" s="83">
        <v>10</v>
      </c>
      <c r="B754" s="76" t="s">
        <v>627</v>
      </c>
      <c r="C754" s="27" t="s">
        <v>287</v>
      </c>
      <c r="D754" s="84" t="s">
        <v>1362</v>
      </c>
      <c r="E754" s="49" t="s">
        <v>1363</v>
      </c>
      <c r="F754" s="46" t="s">
        <v>20</v>
      </c>
      <c r="G754" s="48">
        <v>25725</v>
      </c>
      <c r="H754" s="73" t="s">
        <v>149</v>
      </c>
      <c r="I754" s="63" t="s">
        <v>22</v>
      </c>
      <c r="J754" s="26" t="s">
        <v>70</v>
      </c>
      <c r="K754" s="64">
        <v>40988</v>
      </c>
      <c r="L754" s="64">
        <v>40988</v>
      </c>
      <c r="M754" s="62">
        <v>45474</v>
      </c>
      <c r="N754" s="62">
        <v>47299</v>
      </c>
    </row>
    <row r="755" spans="1:14" s="3" customFormat="1" ht="24.95" customHeight="1">
      <c r="A755" s="76">
        <v>11</v>
      </c>
      <c r="B755" s="76" t="s">
        <v>627</v>
      </c>
      <c r="C755" s="27" t="s">
        <v>287</v>
      </c>
      <c r="D755" s="24" t="s">
        <v>1364</v>
      </c>
      <c r="E755" s="26" t="s">
        <v>1365</v>
      </c>
      <c r="F755" s="46" t="s">
        <v>29</v>
      </c>
      <c r="G755" s="48">
        <v>29026</v>
      </c>
      <c r="H755" s="73" t="s">
        <v>149</v>
      </c>
      <c r="I755" s="63" t="s">
        <v>22</v>
      </c>
      <c r="J755" s="26" t="s">
        <v>70</v>
      </c>
      <c r="K755" s="64">
        <v>41150</v>
      </c>
      <c r="L755" s="64">
        <v>41150</v>
      </c>
      <c r="M755" s="62">
        <v>44933</v>
      </c>
      <c r="N755" s="62" t="s">
        <v>927</v>
      </c>
    </row>
    <row r="756" spans="1:14" s="3" customFormat="1" ht="24.95" customHeight="1">
      <c r="A756" s="76"/>
      <c r="B756" s="76" t="s">
        <v>627</v>
      </c>
      <c r="C756" s="27" t="s">
        <v>287</v>
      </c>
      <c r="D756" s="24" t="s">
        <v>1366</v>
      </c>
      <c r="E756" s="26" t="s">
        <v>1367</v>
      </c>
      <c r="F756" s="46" t="s">
        <v>29</v>
      </c>
      <c r="G756" s="48">
        <v>33698</v>
      </c>
      <c r="H756" s="73" t="s">
        <v>149</v>
      </c>
      <c r="I756" s="63" t="s">
        <v>22</v>
      </c>
      <c r="J756" s="26" t="s">
        <v>70</v>
      </c>
      <c r="K756" s="64">
        <v>45418</v>
      </c>
      <c r="L756" s="64">
        <v>45418</v>
      </c>
      <c r="M756" s="64">
        <v>45418</v>
      </c>
      <c r="N756" s="64">
        <v>47243</v>
      </c>
    </row>
    <row r="757" spans="1:14" s="3" customFormat="1" ht="24.95" customHeight="1">
      <c r="A757" s="76">
        <v>13</v>
      </c>
      <c r="B757" s="76" t="s">
        <v>627</v>
      </c>
      <c r="C757" s="27" t="s">
        <v>287</v>
      </c>
      <c r="D757" s="30" t="s">
        <v>1186</v>
      </c>
      <c r="E757" s="26" t="s">
        <v>1187</v>
      </c>
      <c r="F757" s="46" t="s">
        <v>29</v>
      </c>
      <c r="G757" s="48">
        <v>30759</v>
      </c>
      <c r="H757" s="73" t="s">
        <v>149</v>
      </c>
      <c r="I757" s="63" t="s">
        <v>22</v>
      </c>
      <c r="J757" s="26" t="s">
        <v>70</v>
      </c>
      <c r="K757" s="64">
        <v>41029</v>
      </c>
      <c r="L757" s="64">
        <v>41029</v>
      </c>
      <c r="M757" s="65">
        <v>45839</v>
      </c>
      <c r="N757" s="65">
        <v>47664</v>
      </c>
    </row>
    <row r="758" spans="1:14" s="3" customFormat="1" ht="24.95" customHeight="1">
      <c r="A758" s="76"/>
      <c r="B758" s="31" t="s">
        <v>1196</v>
      </c>
      <c r="C758" s="198"/>
      <c r="D758" s="122"/>
      <c r="E758" s="126"/>
      <c r="F758" s="126"/>
      <c r="G758" s="133"/>
      <c r="H758" s="137"/>
      <c r="I758" s="126"/>
      <c r="J758" s="126"/>
      <c r="K758" s="138"/>
      <c r="L758" s="138"/>
      <c r="M758" s="139"/>
      <c r="N758" s="139"/>
    </row>
    <row r="759" spans="1:14" ht="24.95" customHeight="1">
      <c r="B759" s="39" t="s">
        <v>1197</v>
      </c>
      <c r="C759" s="39"/>
      <c r="D759" s="35"/>
      <c r="E759" s="35"/>
      <c r="F759" s="35"/>
      <c r="G759" s="47"/>
      <c r="H759" s="215"/>
      <c r="I759" s="35"/>
      <c r="J759" s="35"/>
      <c r="K759" s="100"/>
      <c r="L759" s="100"/>
      <c r="M759" s="62"/>
      <c r="N759" s="62"/>
    </row>
    <row r="760" spans="1:14" ht="24.95" customHeight="1">
      <c r="A760" s="76">
        <v>16</v>
      </c>
      <c r="B760" s="76" t="s">
        <v>650</v>
      </c>
      <c r="C760" s="27" t="s">
        <v>55</v>
      </c>
      <c r="D760" s="84" t="s">
        <v>1368</v>
      </c>
      <c r="E760" s="107" t="s">
        <v>1369</v>
      </c>
      <c r="F760" s="46" t="s">
        <v>20</v>
      </c>
      <c r="G760" s="48">
        <v>27933</v>
      </c>
      <c r="H760" s="73" t="s">
        <v>149</v>
      </c>
      <c r="I760" s="63" t="s">
        <v>22</v>
      </c>
      <c r="J760" s="26" t="s">
        <v>62</v>
      </c>
      <c r="K760" s="64">
        <v>34335</v>
      </c>
      <c r="L760" s="64">
        <v>45646</v>
      </c>
      <c r="M760" s="62">
        <v>45659</v>
      </c>
      <c r="N760" s="62">
        <v>47483</v>
      </c>
    </row>
    <row r="761" spans="1:14" ht="24.95" customHeight="1">
      <c r="B761" s="76" t="s">
        <v>374</v>
      </c>
      <c r="C761" s="27" t="s">
        <v>1370</v>
      </c>
      <c r="D761" s="84" t="s">
        <v>1371</v>
      </c>
      <c r="E761" s="26" t="s">
        <v>1372</v>
      </c>
      <c r="F761" s="46" t="s">
        <v>29</v>
      </c>
      <c r="G761" s="48">
        <v>28204</v>
      </c>
      <c r="H761" s="73" t="s">
        <v>149</v>
      </c>
      <c r="I761" s="63" t="s">
        <v>22</v>
      </c>
      <c r="J761" s="26" t="s">
        <v>30</v>
      </c>
      <c r="K761" s="64">
        <v>39469</v>
      </c>
      <c r="L761" s="64">
        <v>42795</v>
      </c>
      <c r="M761" s="62">
        <v>45108</v>
      </c>
      <c r="N761" s="62" t="s">
        <v>927</v>
      </c>
    </row>
    <row r="762" spans="1:14" ht="24.95" customHeight="1">
      <c r="B762" s="76" t="s">
        <v>1375</v>
      </c>
      <c r="C762" s="27" t="s">
        <v>39</v>
      </c>
      <c r="D762" s="24" t="s">
        <v>1376</v>
      </c>
      <c r="E762" s="26" t="s">
        <v>1377</v>
      </c>
      <c r="F762" s="46" t="s">
        <v>29</v>
      </c>
      <c r="G762" s="48">
        <v>28279</v>
      </c>
      <c r="H762" s="73" t="s">
        <v>149</v>
      </c>
      <c r="I762" s="63" t="s">
        <v>22</v>
      </c>
      <c r="J762" s="26" t="s">
        <v>30</v>
      </c>
      <c r="K762" s="64">
        <v>42373</v>
      </c>
      <c r="L762" s="64">
        <v>42373</v>
      </c>
      <c r="M762" s="62">
        <v>45839</v>
      </c>
      <c r="N762" s="62">
        <v>47664</v>
      </c>
    </row>
    <row r="763" spans="1:14" ht="24.95" customHeight="1">
      <c r="B763" s="76" t="s">
        <v>83</v>
      </c>
      <c r="C763" s="27" t="s">
        <v>39</v>
      </c>
      <c r="D763" s="29" t="s">
        <v>1734</v>
      </c>
      <c r="E763" s="285" t="s">
        <v>1711</v>
      </c>
      <c r="F763" s="26" t="s">
        <v>29</v>
      </c>
      <c r="G763" s="235">
        <v>33521</v>
      </c>
      <c r="H763" s="73" t="s">
        <v>149</v>
      </c>
      <c r="I763" s="52" t="s">
        <v>22</v>
      </c>
      <c r="J763" s="26" t="s">
        <v>30</v>
      </c>
      <c r="K763" s="100">
        <v>45747</v>
      </c>
      <c r="L763" s="100">
        <v>45747</v>
      </c>
      <c r="M763" s="62">
        <v>45754</v>
      </c>
      <c r="N763" s="62">
        <v>47579</v>
      </c>
    </row>
    <row r="764" spans="1:14" ht="24.95" customHeight="1">
      <c r="B764" s="76" t="s">
        <v>212</v>
      </c>
      <c r="C764" s="27" t="s">
        <v>39</v>
      </c>
      <c r="D764" s="24" t="s">
        <v>1380</v>
      </c>
      <c r="E764" s="107" t="s">
        <v>1381</v>
      </c>
      <c r="F764" s="46" t="s">
        <v>20</v>
      </c>
      <c r="G764" s="48">
        <v>27070</v>
      </c>
      <c r="H764" s="73" t="s">
        <v>149</v>
      </c>
      <c r="I764" s="63" t="s">
        <v>22</v>
      </c>
      <c r="J764" s="26" t="s">
        <v>30</v>
      </c>
      <c r="K764" s="64">
        <v>35396</v>
      </c>
      <c r="L764" s="64">
        <v>39845</v>
      </c>
      <c r="M764" s="62">
        <v>45108</v>
      </c>
      <c r="N764" s="62" t="s">
        <v>927</v>
      </c>
    </row>
    <row r="765" spans="1:14" ht="24.95" customHeight="1">
      <c r="A765" s="76">
        <v>2</v>
      </c>
      <c r="B765" s="76" t="s">
        <v>540</v>
      </c>
      <c r="C765" s="27" t="s">
        <v>39</v>
      </c>
      <c r="D765" s="24" t="s">
        <v>1382</v>
      </c>
      <c r="E765" s="26" t="s">
        <v>1383</v>
      </c>
      <c r="F765" s="46" t="s">
        <v>29</v>
      </c>
      <c r="G765" s="48">
        <v>24502</v>
      </c>
      <c r="H765" s="73" t="s">
        <v>149</v>
      </c>
      <c r="I765" s="63" t="s">
        <v>22</v>
      </c>
      <c r="J765" s="26" t="s">
        <v>30</v>
      </c>
      <c r="K765" s="64">
        <v>35690</v>
      </c>
      <c r="L765" s="64">
        <v>35690</v>
      </c>
      <c r="M765" s="62">
        <v>45839</v>
      </c>
      <c r="N765" s="62">
        <v>46782</v>
      </c>
    </row>
    <row r="766" spans="1:14" ht="24.95" customHeight="1">
      <c r="B766" s="76" t="s">
        <v>221</v>
      </c>
      <c r="C766" s="27" t="s">
        <v>41</v>
      </c>
      <c r="D766" s="24" t="s">
        <v>1384</v>
      </c>
      <c r="E766" s="26" t="s">
        <v>1385</v>
      </c>
      <c r="F766" s="46" t="s">
        <v>29</v>
      </c>
      <c r="G766" s="48">
        <v>29058</v>
      </c>
      <c r="H766" s="73" t="s">
        <v>149</v>
      </c>
      <c r="I766" s="63" t="s">
        <v>22</v>
      </c>
      <c r="J766" s="26" t="s">
        <v>30</v>
      </c>
      <c r="K766" s="64">
        <v>38839</v>
      </c>
      <c r="L766" s="64">
        <v>42795</v>
      </c>
      <c r="M766" s="62">
        <v>45108</v>
      </c>
      <c r="N766" s="62" t="s">
        <v>927</v>
      </c>
    </row>
    <row r="767" spans="1:14" ht="24.95" customHeight="1">
      <c r="B767" s="76" t="s">
        <v>221</v>
      </c>
      <c r="C767" s="27" t="s">
        <v>41</v>
      </c>
      <c r="D767" s="24" t="s">
        <v>1386</v>
      </c>
      <c r="E767" s="26" t="s">
        <v>1387</v>
      </c>
      <c r="F767" s="46" t="s">
        <v>29</v>
      </c>
      <c r="G767" s="48">
        <v>31336</v>
      </c>
      <c r="H767" s="73" t="s">
        <v>149</v>
      </c>
      <c r="I767" s="63" t="s">
        <v>22</v>
      </c>
      <c r="J767" s="26" t="s">
        <v>30</v>
      </c>
      <c r="K767" s="64">
        <v>41327</v>
      </c>
      <c r="L767" s="64">
        <v>45278</v>
      </c>
      <c r="M767" s="62">
        <v>45108</v>
      </c>
      <c r="N767" s="62" t="s">
        <v>927</v>
      </c>
    </row>
    <row r="768" spans="1:14" ht="24.95" customHeight="1">
      <c r="A768" s="76">
        <v>3</v>
      </c>
      <c r="B768" s="76" t="s">
        <v>40</v>
      </c>
      <c r="C768" s="27" t="s">
        <v>41</v>
      </c>
      <c r="D768" s="30" t="s">
        <v>42</v>
      </c>
      <c r="E768" s="46" t="s">
        <v>43</v>
      </c>
      <c r="F768" s="46" t="s">
        <v>29</v>
      </c>
      <c r="G768" s="48">
        <v>27454</v>
      </c>
      <c r="H768" s="73" t="s">
        <v>149</v>
      </c>
      <c r="I768" s="63" t="s">
        <v>22</v>
      </c>
      <c r="J768" s="26" t="s">
        <v>30</v>
      </c>
      <c r="K768" s="64">
        <v>43732</v>
      </c>
      <c r="L768" s="64">
        <v>45392</v>
      </c>
      <c r="M768" s="65">
        <v>45474</v>
      </c>
      <c r="N768" s="98">
        <v>47299</v>
      </c>
    </row>
    <row r="769" spans="1:14" ht="24.95" customHeight="1">
      <c r="B769" s="85" t="s">
        <v>393</v>
      </c>
      <c r="C769" s="27" t="s">
        <v>85</v>
      </c>
      <c r="D769" s="24" t="s">
        <v>1389</v>
      </c>
      <c r="E769" s="26" t="s">
        <v>1390</v>
      </c>
      <c r="F769" s="46" t="s">
        <v>29</v>
      </c>
      <c r="G769" s="48">
        <v>30300</v>
      </c>
      <c r="H769" s="73" t="s">
        <v>149</v>
      </c>
      <c r="I769" s="63" t="s">
        <v>22</v>
      </c>
      <c r="J769" s="26" t="s">
        <v>30</v>
      </c>
      <c r="K769" s="64">
        <v>40301</v>
      </c>
      <c r="L769" s="64">
        <v>40301</v>
      </c>
      <c r="M769" s="62">
        <v>45108</v>
      </c>
      <c r="N769" s="62" t="s">
        <v>927</v>
      </c>
    </row>
    <row r="770" spans="1:14" ht="24.95" customHeight="1">
      <c r="B770" s="76" t="s">
        <v>44</v>
      </c>
      <c r="C770" s="27" t="s">
        <v>45</v>
      </c>
      <c r="D770" s="84" t="s">
        <v>1391</v>
      </c>
      <c r="E770" s="26" t="s">
        <v>1392</v>
      </c>
      <c r="F770" s="46" t="s">
        <v>20</v>
      </c>
      <c r="G770" s="48">
        <v>27759</v>
      </c>
      <c r="H770" s="73" t="s">
        <v>149</v>
      </c>
      <c r="I770" s="63" t="s">
        <v>22</v>
      </c>
      <c r="J770" s="26" t="s">
        <v>50</v>
      </c>
      <c r="K770" s="64">
        <v>36579</v>
      </c>
      <c r="L770" s="64">
        <v>36579</v>
      </c>
      <c r="M770" s="62">
        <v>45108</v>
      </c>
      <c r="N770" s="62" t="s">
        <v>927</v>
      </c>
    </row>
    <row r="771" spans="1:14" ht="24.95" customHeight="1">
      <c r="B771" s="76" t="s">
        <v>44</v>
      </c>
      <c r="C771" s="27" t="s">
        <v>45</v>
      </c>
      <c r="D771" s="84" t="s">
        <v>1393</v>
      </c>
      <c r="E771" s="26" t="s">
        <v>1394</v>
      </c>
      <c r="F771" s="46" t="s">
        <v>20</v>
      </c>
      <c r="G771" s="48">
        <v>27409</v>
      </c>
      <c r="H771" s="73" t="s">
        <v>149</v>
      </c>
      <c r="I771" s="63" t="s">
        <v>22</v>
      </c>
      <c r="J771" s="26" t="s">
        <v>50</v>
      </c>
      <c r="K771" s="64">
        <v>37649</v>
      </c>
      <c r="L771" s="64">
        <v>37649</v>
      </c>
      <c r="M771" s="65">
        <v>45839</v>
      </c>
      <c r="N771" s="62">
        <v>47664</v>
      </c>
    </row>
    <row r="772" spans="1:14" ht="24.95" customHeight="1">
      <c r="B772" s="76" t="s">
        <v>44</v>
      </c>
      <c r="C772" s="27" t="s">
        <v>45</v>
      </c>
      <c r="D772" s="24" t="s">
        <v>789</v>
      </c>
      <c r="E772" s="26" t="s">
        <v>790</v>
      </c>
      <c r="F772" s="26" t="s">
        <v>20</v>
      </c>
      <c r="G772" s="43">
        <v>31903</v>
      </c>
      <c r="H772" s="73" t="s">
        <v>149</v>
      </c>
      <c r="I772" s="52" t="s">
        <v>22</v>
      </c>
      <c r="J772" s="26" t="s">
        <v>50</v>
      </c>
      <c r="K772" s="53">
        <v>42310</v>
      </c>
      <c r="L772" s="53">
        <v>42310</v>
      </c>
      <c r="M772" s="72">
        <v>45474</v>
      </c>
      <c r="N772" s="72">
        <v>47299</v>
      </c>
    </row>
    <row r="773" spans="1:14" ht="24.95" customHeight="1">
      <c r="A773" s="76">
        <v>6</v>
      </c>
      <c r="B773" s="76" t="s">
        <v>46</v>
      </c>
      <c r="C773" s="27" t="s">
        <v>47</v>
      </c>
      <c r="D773" s="24" t="s">
        <v>1395</v>
      </c>
      <c r="E773" s="26" t="s">
        <v>1396</v>
      </c>
      <c r="F773" s="46" t="s">
        <v>29</v>
      </c>
      <c r="G773" s="48">
        <v>31291</v>
      </c>
      <c r="H773" s="73" t="s">
        <v>149</v>
      </c>
      <c r="I773" s="63" t="s">
        <v>22</v>
      </c>
      <c r="J773" s="26" t="s">
        <v>50</v>
      </c>
      <c r="K773" s="64">
        <v>41153</v>
      </c>
      <c r="L773" s="64">
        <v>41153</v>
      </c>
      <c r="M773" s="62">
        <v>45108</v>
      </c>
      <c r="N773" s="62" t="s">
        <v>927</v>
      </c>
    </row>
    <row r="774" spans="1:14" ht="24.95" customHeight="1">
      <c r="A774" s="76">
        <v>7</v>
      </c>
      <c r="B774" s="76" t="s">
        <v>100</v>
      </c>
      <c r="C774" s="27" t="s">
        <v>47</v>
      </c>
      <c r="D774" s="24" t="s">
        <v>1397</v>
      </c>
      <c r="E774" s="49" t="s">
        <v>1398</v>
      </c>
      <c r="F774" s="46" t="s">
        <v>20</v>
      </c>
      <c r="G774" s="48">
        <v>29827</v>
      </c>
      <c r="H774" s="73" t="s">
        <v>149</v>
      </c>
      <c r="I774" s="63" t="s">
        <v>22</v>
      </c>
      <c r="J774" s="26" t="s">
        <v>50</v>
      </c>
      <c r="K774" s="64">
        <v>43282</v>
      </c>
      <c r="L774" s="64">
        <v>43282</v>
      </c>
      <c r="M774" s="62">
        <v>45108</v>
      </c>
      <c r="N774" s="62" t="s">
        <v>927</v>
      </c>
    </row>
    <row r="775" spans="1:14" ht="24.95" customHeight="1">
      <c r="A775" s="76">
        <v>8</v>
      </c>
      <c r="B775" s="31" t="s">
        <v>1220</v>
      </c>
      <c r="C775" s="76"/>
      <c r="D775" s="35"/>
      <c r="E775" s="35"/>
      <c r="F775" s="35"/>
      <c r="G775" s="47"/>
      <c r="H775" s="215"/>
      <c r="I775" s="35"/>
      <c r="J775" s="35"/>
      <c r="K775" s="100"/>
      <c r="L775" s="100"/>
      <c r="M775" s="62"/>
      <c r="N775" s="62"/>
    </row>
    <row r="776" spans="1:14" ht="24.95" customHeight="1">
      <c r="B776" s="252" t="s">
        <v>1399</v>
      </c>
      <c r="C776" s="76"/>
      <c r="D776" s="35"/>
      <c r="E776" s="35"/>
      <c r="F776" s="35"/>
      <c r="G776" s="47"/>
      <c r="H776" s="215"/>
      <c r="I776" s="35"/>
      <c r="J776" s="35"/>
      <c r="K776" s="100"/>
      <c r="L776" s="100"/>
      <c r="M776" s="62"/>
      <c r="N776" s="62"/>
    </row>
    <row r="777" spans="1:14" ht="24.95" customHeight="1">
      <c r="B777" s="137" t="s">
        <v>1400</v>
      </c>
      <c r="C777" s="198"/>
      <c r="D777" s="122" t="s">
        <v>52</v>
      </c>
      <c r="E777" s="126"/>
      <c r="F777" s="126"/>
      <c r="G777" s="133"/>
      <c r="H777" s="137"/>
      <c r="I777" s="126"/>
      <c r="J777" s="126"/>
      <c r="K777" s="138"/>
      <c r="L777" s="138"/>
      <c r="M777" s="139"/>
      <c r="N777" s="139"/>
    </row>
    <row r="778" spans="1:14" ht="24.95" customHeight="1">
      <c r="B778" s="76" t="s">
        <v>320</v>
      </c>
      <c r="C778" s="27" t="s">
        <v>129</v>
      </c>
      <c r="D778" s="307" t="s">
        <v>1401</v>
      </c>
      <c r="E778" s="309" t="s">
        <v>1402</v>
      </c>
      <c r="F778" s="253" t="s">
        <v>20</v>
      </c>
      <c r="G778" s="255">
        <v>29306</v>
      </c>
      <c r="H778" s="73" t="s">
        <v>1403</v>
      </c>
      <c r="I778" s="142" t="s">
        <v>22</v>
      </c>
      <c r="J778" s="143" t="s">
        <v>62</v>
      </c>
      <c r="K778" s="250">
        <v>40507</v>
      </c>
      <c r="L778" s="269">
        <v>43518</v>
      </c>
      <c r="M778" s="250">
        <v>45108</v>
      </c>
      <c r="N778" s="310" t="s">
        <v>551</v>
      </c>
    </row>
    <row r="779" spans="1:14" ht="24.95" customHeight="1">
      <c r="B779" s="76" t="s">
        <v>320</v>
      </c>
      <c r="C779" s="27" t="s">
        <v>129</v>
      </c>
      <c r="D779" s="24" t="s">
        <v>1404</v>
      </c>
      <c r="E779" s="107" t="s">
        <v>1405</v>
      </c>
      <c r="F779" s="46" t="s">
        <v>20</v>
      </c>
      <c r="G779" s="48">
        <v>27025</v>
      </c>
      <c r="H779" s="73" t="s">
        <v>1403</v>
      </c>
      <c r="I779" s="63" t="s">
        <v>22</v>
      </c>
      <c r="J779" s="26" t="s">
        <v>62</v>
      </c>
      <c r="K779" s="64">
        <v>38720</v>
      </c>
      <c r="L779" s="64">
        <v>42186</v>
      </c>
      <c r="M779" s="214">
        <v>45108</v>
      </c>
      <c r="N779" s="98">
        <v>46934</v>
      </c>
    </row>
    <row r="780" spans="1:14" ht="24.95" customHeight="1">
      <c r="A780" s="83"/>
      <c r="B780" s="76" t="s">
        <v>320</v>
      </c>
      <c r="C780" s="27" t="s">
        <v>129</v>
      </c>
      <c r="D780" s="28" t="s">
        <v>1406</v>
      </c>
      <c r="E780" s="267" t="s">
        <v>1407</v>
      </c>
      <c r="F780" s="46" t="s">
        <v>20</v>
      </c>
      <c r="G780" s="48">
        <v>28048</v>
      </c>
      <c r="H780" s="73" t="s">
        <v>1403</v>
      </c>
      <c r="I780" s="63" t="s">
        <v>22</v>
      </c>
      <c r="J780" s="26" t="s">
        <v>62</v>
      </c>
      <c r="K780" s="64">
        <v>43739</v>
      </c>
      <c r="L780" s="64">
        <v>45392</v>
      </c>
      <c r="M780" s="98">
        <v>45839</v>
      </c>
      <c r="N780" s="98">
        <v>47664</v>
      </c>
    </row>
    <row r="781" spans="1:14" ht="24.95" customHeight="1">
      <c r="A781" s="83">
        <v>1</v>
      </c>
      <c r="B781" s="76" t="s">
        <v>524</v>
      </c>
      <c r="C781" s="27" t="s">
        <v>123</v>
      </c>
      <c r="D781" s="24" t="s">
        <v>1408</v>
      </c>
      <c r="E781" s="26" t="s">
        <v>1409</v>
      </c>
      <c r="F781" s="46" t="s">
        <v>20</v>
      </c>
      <c r="G781" s="48" t="s">
        <v>1410</v>
      </c>
      <c r="H781" s="73" t="s">
        <v>1403</v>
      </c>
      <c r="I781" s="63" t="s">
        <v>22</v>
      </c>
      <c r="J781" s="26" t="s">
        <v>62</v>
      </c>
      <c r="K781" s="64" t="s">
        <v>1411</v>
      </c>
      <c r="L781" s="64">
        <v>45108</v>
      </c>
      <c r="M781" s="98">
        <v>46934</v>
      </c>
      <c r="N781" s="98" t="s">
        <v>551</v>
      </c>
    </row>
    <row r="782" spans="1:14" ht="24.95" customHeight="1">
      <c r="A782" s="76">
        <v>2</v>
      </c>
      <c r="B782" s="76" t="s">
        <v>524</v>
      </c>
      <c r="C782" s="27" t="s">
        <v>123</v>
      </c>
      <c r="D782" s="24" t="s">
        <v>1414</v>
      </c>
      <c r="E782" s="248" t="s">
        <v>1415</v>
      </c>
      <c r="F782" s="46" t="s">
        <v>20</v>
      </c>
      <c r="G782" s="48">
        <v>31719</v>
      </c>
      <c r="H782" s="73" t="s">
        <v>1403</v>
      </c>
      <c r="I782" s="63" t="s">
        <v>22</v>
      </c>
      <c r="J782" s="26" t="s">
        <v>62</v>
      </c>
      <c r="K782" s="64">
        <v>42083</v>
      </c>
      <c r="L782" s="64">
        <v>43647</v>
      </c>
      <c r="M782" s="98">
        <v>45474</v>
      </c>
      <c r="N782" s="98" t="s">
        <v>1416</v>
      </c>
    </row>
    <row r="783" spans="1:14" ht="24.95" customHeight="1">
      <c r="A783" s="76">
        <v>4</v>
      </c>
      <c r="B783" s="76" t="s">
        <v>524</v>
      </c>
      <c r="C783" s="27" t="s">
        <v>123</v>
      </c>
      <c r="D783" s="28" t="s">
        <v>1417</v>
      </c>
      <c r="E783" s="248" t="s">
        <v>1418</v>
      </c>
      <c r="F783" s="46" t="s">
        <v>20</v>
      </c>
      <c r="G783" s="48">
        <v>30598</v>
      </c>
      <c r="H783" s="73" t="s">
        <v>1403</v>
      </c>
      <c r="I783" s="63" t="s">
        <v>22</v>
      </c>
      <c r="J783" s="26" t="s">
        <v>62</v>
      </c>
      <c r="K783" s="64">
        <v>43194</v>
      </c>
      <c r="L783" s="64">
        <v>45108</v>
      </c>
      <c r="M783" s="98">
        <v>46934</v>
      </c>
      <c r="N783" s="98" t="s">
        <v>551</v>
      </c>
    </row>
    <row r="784" spans="1:14" ht="24.95" customHeight="1">
      <c r="A784" s="83">
        <v>5</v>
      </c>
      <c r="B784" s="76" t="s">
        <v>524</v>
      </c>
      <c r="C784" s="27" t="s">
        <v>123</v>
      </c>
      <c r="D784" s="82" t="s">
        <v>1419</v>
      </c>
      <c r="E784" s="256" t="s">
        <v>1420</v>
      </c>
      <c r="F784" s="46" t="s">
        <v>20</v>
      </c>
      <c r="G784" s="48">
        <v>30076</v>
      </c>
      <c r="H784" s="73" t="s">
        <v>1403</v>
      </c>
      <c r="I784" s="63" t="s">
        <v>22</v>
      </c>
      <c r="J784" s="26" t="s">
        <v>62</v>
      </c>
      <c r="K784" s="64">
        <v>39631</v>
      </c>
      <c r="L784" s="64">
        <v>45108</v>
      </c>
      <c r="M784" s="98">
        <v>46934</v>
      </c>
      <c r="N784" s="98" t="s">
        <v>551</v>
      </c>
    </row>
    <row r="785" spans="1:14" ht="24.95" customHeight="1">
      <c r="A785" s="76">
        <v>6</v>
      </c>
      <c r="B785" s="76" t="s">
        <v>524</v>
      </c>
      <c r="C785" s="27" t="s">
        <v>123</v>
      </c>
      <c r="D785" s="82" t="s">
        <v>2036</v>
      </c>
      <c r="E785" s="256"/>
      <c r="F785" s="46" t="s">
        <v>20</v>
      </c>
      <c r="G785" s="48"/>
      <c r="H785" s="73" t="s">
        <v>1403</v>
      </c>
      <c r="I785" s="63" t="s">
        <v>22</v>
      </c>
      <c r="J785" s="26" t="s">
        <v>62</v>
      </c>
      <c r="K785" s="64"/>
      <c r="L785" s="64"/>
      <c r="M785" s="98">
        <v>46266</v>
      </c>
      <c r="N785" s="98">
        <v>48091</v>
      </c>
    </row>
    <row r="786" spans="1:14" ht="24.95" customHeight="1">
      <c r="A786" s="83">
        <v>7</v>
      </c>
      <c r="B786" s="76" t="s">
        <v>360</v>
      </c>
      <c r="C786" s="76" t="s">
        <v>279</v>
      </c>
      <c r="D786" s="30" t="s">
        <v>1180</v>
      </c>
      <c r="E786" s="26" t="s">
        <v>1181</v>
      </c>
      <c r="F786" s="46" t="s">
        <v>20</v>
      </c>
      <c r="G786" s="48">
        <v>31329</v>
      </c>
      <c r="H786" s="73" t="s">
        <v>1403</v>
      </c>
      <c r="I786" s="63" t="s">
        <v>22</v>
      </c>
      <c r="J786" s="26" t="s">
        <v>70</v>
      </c>
      <c r="K786" s="64">
        <v>42744</v>
      </c>
      <c r="L786" s="64">
        <v>42744</v>
      </c>
      <c r="M786" s="65">
        <v>45108</v>
      </c>
      <c r="N786" s="65">
        <v>46934</v>
      </c>
    </row>
    <row r="787" spans="1:14" ht="24.95" customHeight="1">
      <c r="A787" s="76">
        <v>8</v>
      </c>
      <c r="B787" s="76" t="s">
        <v>627</v>
      </c>
      <c r="C787" s="27" t="s">
        <v>287</v>
      </c>
      <c r="D787" s="24" t="s">
        <v>1423</v>
      </c>
      <c r="E787" s="256" t="s">
        <v>1424</v>
      </c>
      <c r="F787" s="46" t="s">
        <v>20</v>
      </c>
      <c r="G787" s="48">
        <v>28897</v>
      </c>
      <c r="H787" s="73" t="s">
        <v>1403</v>
      </c>
      <c r="I787" s="63" t="s">
        <v>22</v>
      </c>
      <c r="J787" s="26" t="s">
        <v>70</v>
      </c>
      <c r="K787" s="64">
        <v>40500</v>
      </c>
      <c r="L787" s="64">
        <v>40500</v>
      </c>
      <c r="M787" s="98">
        <v>46934</v>
      </c>
      <c r="N787" s="98">
        <v>46934</v>
      </c>
    </row>
    <row r="788" spans="1:14" ht="24.95" customHeight="1">
      <c r="B788" s="76" t="s">
        <v>627</v>
      </c>
      <c r="C788" s="27" t="s">
        <v>287</v>
      </c>
      <c r="D788" s="24" t="s">
        <v>1425</v>
      </c>
      <c r="E788" s="256" t="s">
        <v>1426</v>
      </c>
      <c r="F788" s="46" t="s">
        <v>20</v>
      </c>
      <c r="G788" s="48">
        <v>28239</v>
      </c>
      <c r="H788" s="73" t="s">
        <v>1403</v>
      </c>
      <c r="I788" s="63" t="s">
        <v>22</v>
      </c>
      <c r="J788" s="26" t="s">
        <v>70</v>
      </c>
      <c r="K788" s="64">
        <v>39467</v>
      </c>
      <c r="L788" s="64">
        <v>39467</v>
      </c>
      <c r="M788" s="98">
        <v>45839</v>
      </c>
      <c r="N788" s="98">
        <v>47664</v>
      </c>
    </row>
    <row r="789" spans="1:14" ht="24.95" customHeight="1">
      <c r="A789" s="76">
        <v>9</v>
      </c>
      <c r="B789" s="76" t="s">
        <v>627</v>
      </c>
      <c r="C789" s="27" t="s">
        <v>287</v>
      </c>
      <c r="D789" s="24" t="s">
        <v>1427</v>
      </c>
      <c r="E789" s="256" t="s">
        <v>1428</v>
      </c>
      <c r="F789" s="46" t="s">
        <v>20</v>
      </c>
      <c r="G789" s="48">
        <v>31299</v>
      </c>
      <c r="H789" s="73" t="s">
        <v>1403</v>
      </c>
      <c r="I789" s="63" t="s">
        <v>22</v>
      </c>
      <c r="J789" s="26" t="s">
        <v>70</v>
      </c>
      <c r="K789" s="64">
        <v>40500</v>
      </c>
      <c r="L789" s="64">
        <v>40500</v>
      </c>
      <c r="M789" s="98">
        <v>46934</v>
      </c>
      <c r="N789" s="98">
        <v>46934</v>
      </c>
    </row>
    <row r="790" spans="1:14" ht="24.95" customHeight="1">
      <c r="A790" s="76">
        <v>11</v>
      </c>
      <c r="B790" s="76" t="s">
        <v>627</v>
      </c>
      <c r="C790" s="27" t="s">
        <v>287</v>
      </c>
      <c r="D790" s="24" t="s">
        <v>1429</v>
      </c>
      <c r="E790" s="256" t="s">
        <v>1430</v>
      </c>
      <c r="F790" s="46" t="s">
        <v>20</v>
      </c>
      <c r="G790" s="48">
        <v>29382</v>
      </c>
      <c r="H790" s="73" t="s">
        <v>1403</v>
      </c>
      <c r="I790" s="63" t="s">
        <v>22</v>
      </c>
      <c r="J790" s="26" t="s">
        <v>70</v>
      </c>
      <c r="K790" s="64">
        <v>39349</v>
      </c>
      <c r="L790" s="64">
        <v>39349</v>
      </c>
      <c r="M790" s="98">
        <v>45474</v>
      </c>
      <c r="N790" s="98">
        <v>47299</v>
      </c>
    </row>
    <row r="791" spans="1:14" ht="24.95" customHeight="1">
      <c r="A791" s="76">
        <v>12</v>
      </c>
      <c r="B791" s="76" t="s">
        <v>627</v>
      </c>
      <c r="C791" s="27" t="s">
        <v>287</v>
      </c>
      <c r="D791" s="24" t="s">
        <v>1431</v>
      </c>
      <c r="E791" s="89" t="s">
        <v>1432</v>
      </c>
      <c r="F791" s="46" t="s">
        <v>29</v>
      </c>
      <c r="G791" s="48">
        <v>28448</v>
      </c>
      <c r="H791" s="73" t="s">
        <v>1403</v>
      </c>
      <c r="I791" s="63" t="s">
        <v>22</v>
      </c>
      <c r="J791" s="26" t="s">
        <v>70</v>
      </c>
      <c r="K791" s="64">
        <v>41146</v>
      </c>
      <c r="L791" s="64">
        <v>41146</v>
      </c>
      <c r="M791" s="98">
        <v>46934</v>
      </c>
      <c r="N791" s="98">
        <v>46934</v>
      </c>
    </row>
    <row r="792" spans="1:14" ht="24.95" customHeight="1">
      <c r="B792" s="76" t="s">
        <v>627</v>
      </c>
      <c r="C792" s="27" t="s">
        <v>287</v>
      </c>
      <c r="D792" s="24" t="s">
        <v>1433</v>
      </c>
      <c r="E792" s="89" t="s">
        <v>1434</v>
      </c>
      <c r="F792" s="46" t="s">
        <v>20</v>
      </c>
      <c r="G792" s="48">
        <v>25017</v>
      </c>
      <c r="H792" s="73" t="s">
        <v>1403</v>
      </c>
      <c r="I792" s="63" t="s">
        <v>22</v>
      </c>
      <c r="J792" s="26" t="s">
        <v>70</v>
      </c>
      <c r="K792" s="64">
        <v>41155</v>
      </c>
      <c r="L792" s="64">
        <v>41155</v>
      </c>
      <c r="M792" s="98">
        <v>46934</v>
      </c>
      <c r="N792" s="98">
        <v>46934</v>
      </c>
    </row>
    <row r="793" spans="1:14" s="3" customFormat="1" ht="24.95" customHeight="1">
      <c r="A793" s="76"/>
      <c r="B793" s="76" t="s">
        <v>627</v>
      </c>
      <c r="C793" s="27" t="s">
        <v>287</v>
      </c>
      <c r="D793" s="24" t="s">
        <v>1435</v>
      </c>
      <c r="E793" s="256" t="s">
        <v>1436</v>
      </c>
      <c r="F793" s="35" t="s">
        <v>20</v>
      </c>
      <c r="G793" s="48">
        <v>31406</v>
      </c>
      <c r="H793" s="215" t="s">
        <v>1403</v>
      </c>
      <c r="I793" s="35" t="s">
        <v>22</v>
      </c>
      <c r="J793" s="35" t="s">
        <v>1437</v>
      </c>
      <c r="K793" s="64">
        <v>40500</v>
      </c>
      <c r="L793" s="64">
        <v>40500</v>
      </c>
      <c r="M793" s="98">
        <v>46934</v>
      </c>
      <c r="N793" s="98">
        <v>46934</v>
      </c>
    </row>
    <row r="794" spans="1:14" s="3" customFormat="1" ht="24.95" customHeight="1">
      <c r="A794" s="76">
        <v>13</v>
      </c>
      <c r="B794" s="76" t="s">
        <v>627</v>
      </c>
      <c r="C794" s="27" t="s">
        <v>287</v>
      </c>
      <c r="D794" s="24" t="s">
        <v>1438</v>
      </c>
      <c r="E794" s="256" t="s">
        <v>1439</v>
      </c>
      <c r="F794" s="35" t="s">
        <v>20</v>
      </c>
      <c r="G794" s="48">
        <v>28999</v>
      </c>
      <c r="H794" s="215" t="s">
        <v>1403</v>
      </c>
      <c r="I794" s="35" t="s">
        <v>22</v>
      </c>
      <c r="J794" s="35" t="s">
        <v>1440</v>
      </c>
      <c r="K794" s="64">
        <v>39468</v>
      </c>
      <c r="L794" s="64">
        <v>39468</v>
      </c>
      <c r="M794" s="98">
        <v>46934</v>
      </c>
      <c r="N794" s="98">
        <v>46934</v>
      </c>
    </row>
    <row r="795" spans="1:14" s="6" customFormat="1" ht="24.95" customHeight="1">
      <c r="A795" s="76">
        <v>15</v>
      </c>
      <c r="B795" s="76" t="s">
        <v>627</v>
      </c>
      <c r="C795" s="27" t="s">
        <v>287</v>
      </c>
      <c r="D795" s="24" t="s">
        <v>1441</v>
      </c>
      <c r="E795" s="249" t="s">
        <v>1442</v>
      </c>
      <c r="F795" s="86" t="s">
        <v>20</v>
      </c>
      <c r="G795" s="88">
        <v>31172</v>
      </c>
      <c r="H795" s="215" t="s">
        <v>1403</v>
      </c>
      <c r="I795" s="97" t="s">
        <v>22</v>
      </c>
      <c r="J795" s="27" t="s">
        <v>70</v>
      </c>
      <c r="K795" s="88">
        <v>43221</v>
      </c>
      <c r="L795" s="88">
        <v>43221</v>
      </c>
      <c r="M795" s="64">
        <v>45108</v>
      </c>
      <c r="N795" s="98">
        <v>46934</v>
      </c>
    </row>
    <row r="796" spans="1:14" s="3" customFormat="1" ht="24.95" customHeight="1">
      <c r="A796" s="76"/>
      <c r="B796" s="31" t="s">
        <v>1196</v>
      </c>
      <c r="C796" s="198"/>
      <c r="D796" s="122"/>
      <c r="E796" s="126"/>
      <c r="F796" s="126"/>
      <c r="G796" s="133"/>
      <c r="H796" s="137"/>
      <c r="I796" s="126"/>
      <c r="J796" s="126"/>
      <c r="K796" s="138"/>
      <c r="L796" s="138"/>
      <c r="M796" s="139"/>
      <c r="N796" s="139"/>
    </row>
    <row r="797" spans="1:14" ht="24.95" customHeight="1">
      <c r="B797" s="25" t="s">
        <v>1197</v>
      </c>
      <c r="C797" s="125"/>
      <c r="D797" s="122"/>
      <c r="E797" s="126"/>
      <c r="F797" s="126"/>
      <c r="G797" s="133"/>
      <c r="H797" s="137"/>
      <c r="I797" s="126"/>
      <c r="J797" s="126"/>
      <c r="K797" s="138"/>
      <c r="L797" s="138"/>
      <c r="M797" s="139"/>
      <c r="N797" s="139"/>
    </row>
    <row r="798" spans="1:14" ht="24.95" customHeight="1">
      <c r="B798" s="76" t="s">
        <v>650</v>
      </c>
      <c r="C798" s="27" t="s">
        <v>55</v>
      </c>
      <c r="D798" s="95" t="s">
        <v>1443</v>
      </c>
      <c r="E798" s="311" t="s">
        <v>1444</v>
      </c>
      <c r="F798" s="86" t="s">
        <v>20</v>
      </c>
      <c r="G798" s="312">
        <v>28848</v>
      </c>
      <c r="H798" s="73" t="s">
        <v>1403</v>
      </c>
      <c r="I798" s="63" t="s">
        <v>22</v>
      </c>
      <c r="J798" s="26" t="s">
        <v>23</v>
      </c>
      <c r="K798" s="312">
        <v>45490</v>
      </c>
      <c r="L798" s="312">
        <v>45490</v>
      </c>
      <c r="M798" s="312">
        <v>45505</v>
      </c>
      <c r="N798" s="98">
        <v>47330</v>
      </c>
    </row>
    <row r="799" spans="1:14" ht="24.95" customHeight="1">
      <c r="A799" s="76">
        <v>2</v>
      </c>
      <c r="B799" s="85" t="s">
        <v>173</v>
      </c>
      <c r="C799" s="24" t="s">
        <v>67</v>
      </c>
      <c r="D799" s="24" t="s">
        <v>1445</v>
      </c>
      <c r="E799" s="256" t="s">
        <v>1446</v>
      </c>
      <c r="F799" s="46" t="s">
        <v>29</v>
      </c>
      <c r="G799" s="48">
        <v>27015</v>
      </c>
      <c r="H799" s="73" t="s">
        <v>1403</v>
      </c>
      <c r="I799" s="63" t="s">
        <v>22</v>
      </c>
      <c r="J799" s="26" t="s">
        <v>30</v>
      </c>
      <c r="K799" s="64">
        <v>40500</v>
      </c>
      <c r="L799" s="64">
        <v>45108</v>
      </c>
      <c r="M799" s="98">
        <v>46934</v>
      </c>
      <c r="N799" s="98">
        <v>46934</v>
      </c>
    </row>
    <row r="800" spans="1:14" ht="24.95" customHeight="1">
      <c r="B800" s="76" t="s">
        <v>1447</v>
      </c>
      <c r="C800" s="24" t="s">
        <v>39</v>
      </c>
      <c r="D800" s="251" t="s">
        <v>1448</v>
      </c>
      <c r="E800" s="254" t="s">
        <v>1449</v>
      </c>
      <c r="F800" s="253" t="s">
        <v>29</v>
      </c>
      <c r="G800" s="255">
        <v>33786</v>
      </c>
      <c r="H800" s="73" t="s">
        <v>1403</v>
      </c>
      <c r="I800" s="63" t="s">
        <v>22</v>
      </c>
      <c r="J800" s="26" t="s">
        <v>30</v>
      </c>
      <c r="K800" s="64">
        <v>43102</v>
      </c>
      <c r="L800" s="64">
        <v>45392</v>
      </c>
      <c r="M800" s="62">
        <v>45108</v>
      </c>
      <c r="N800" s="98">
        <v>46934</v>
      </c>
    </row>
    <row r="801" spans="1:14" ht="24.95" customHeight="1">
      <c r="B801" s="85" t="s">
        <v>1375</v>
      </c>
      <c r="C801" s="27" t="s">
        <v>41</v>
      </c>
      <c r="D801" s="24" t="s">
        <v>1450</v>
      </c>
      <c r="E801" s="256" t="s">
        <v>1451</v>
      </c>
      <c r="F801" s="46" t="s">
        <v>20</v>
      </c>
      <c r="G801" s="48">
        <v>25156</v>
      </c>
      <c r="H801" s="73" t="s">
        <v>1403</v>
      </c>
      <c r="I801" s="63" t="s">
        <v>22</v>
      </c>
      <c r="J801" s="26" t="s">
        <v>30</v>
      </c>
      <c r="K801" s="64">
        <v>42438</v>
      </c>
      <c r="L801" s="64">
        <v>44013</v>
      </c>
      <c r="M801" s="98">
        <v>45839</v>
      </c>
      <c r="N801" s="98">
        <v>47071</v>
      </c>
    </row>
    <row r="802" spans="1:14" ht="24.95" customHeight="1">
      <c r="A802" s="76">
        <v>3</v>
      </c>
      <c r="B802" s="76" t="s">
        <v>83</v>
      </c>
      <c r="C802" s="24" t="s">
        <v>39</v>
      </c>
      <c r="D802" s="24" t="s">
        <v>1452</v>
      </c>
      <c r="E802" s="27" t="s">
        <v>1453</v>
      </c>
      <c r="F802" s="86" t="s">
        <v>29</v>
      </c>
      <c r="G802" s="88">
        <v>26485</v>
      </c>
      <c r="H802" s="73" t="s">
        <v>1403</v>
      </c>
      <c r="I802" s="97" t="s">
        <v>22</v>
      </c>
      <c r="J802" s="27" t="s">
        <v>30</v>
      </c>
      <c r="K802" s="88">
        <v>41345</v>
      </c>
      <c r="L802" s="88">
        <v>41345</v>
      </c>
      <c r="M802" s="65">
        <v>45108</v>
      </c>
      <c r="N802" s="65">
        <v>46934</v>
      </c>
    </row>
    <row r="803" spans="1:14" ht="24.95" customHeight="1">
      <c r="B803" s="85" t="s">
        <v>1204</v>
      </c>
      <c r="C803" s="27" t="s">
        <v>41</v>
      </c>
      <c r="D803" s="82" t="s">
        <v>1736</v>
      </c>
      <c r="E803" s="35" t="s">
        <v>1737</v>
      </c>
      <c r="F803" s="35" t="s">
        <v>20</v>
      </c>
      <c r="G803" s="144">
        <v>33505</v>
      </c>
      <c r="H803" s="73" t="s">
        <v>1403</v>
      </c>
      <c r="I803" s="104" t="s">
        <v>22</v>
      </c>
      <c r="J803" s="30" t="s">
        <v>30</v>
      </c>
      <c r="K803" s="100">
        <v>45664</v>
      </c>
      <c r="L803" s="100">
        <v>45664</v>
      </c>
      <c r="M803" s="62">
        <v>45717</v>
      </c>
      <c r="N803" s="62">
        <v>47542</v>
      </c>
    </row>
    <row r="804" spans="1:14" ht="24.95" customHeight="1">
      <c r="B804" s="85" t="s">
        <v>84</v>
      </c>
      <c r="C804" s="27" t="s">
        <v>85</v>
      </c>
      <c r="D804" s="24" t="s">
        <v>1454</v>
      </c>
      <c r="E804" s="234" t="s">
        <v>1455</v>
      </c>
      <c r="F804" s="46" t="s">
        <v>1209</v>
      </c>
      <c r="G804" s="48">
        <v>32840</v>
      </c>
      <c r="H804" s="73" t="s">
        <v>1403</v>
      </c>
      <c r="I804" s="63" t="s">
        <v>22</v>
      </c>
      <c r="J804" s="26" t="s">
        <v>30</v>
      </c>
      <c r="K804" s="64">
        <v>43745</v>
      </c>
      <c r="L804" s="64">
        <v>43745</v>
      </c>
      <c r="M804" s="98">
        <v>45839</v>
      </c>
      <c r="N804" s="98">
        <v>47664</v>
      </c>
    </row>
    <row r="805" spans="1:14" ht="24.95" customHeight="1">
      <c r="A805" s="76">
        <v>5</v>
      </c>
      <c r="B805" s="85" t="s">
        <v>1775</v>
      </c>
      <c r="C805" s="27" t="s">
        <v>85</v>
      </c>
      <c r="D805" s="24" t="s">
        <v>1456</v>
      </c>
      <c r="E805" s="26" t="s">
        <v>1457</v>
      </c>
      <c r="F805" s="46" t="s">
        <v>20</v>
      </c>
      <c r="G805" s="48">
        <v>31994</v>
      </c>
      <c r="H805" s="73" t="s">
        <v>1403</v>
      </c>
      <c r="I805" s="63" t="s">
        <v>22</v>
      </c>
      <c r="J805" s="26" t="s">
        <v>30</v>
      </c>
      <c r="K805" s="64">
        <v>43728</v>
      </c>
      <c r="L805" s="64">
        <v>45278</v>
      </c>
      <c r="M805" s="65">
        <v>45839</v>
      </c>
      <c r="N805" s="62">
        <v>47664</v>
      </c>
    </row>
    <row r="806" spans="1:14" ht="24.95" customHeight="1">
      <c r="B806" s="76" t="s">
        <v>44</v>
      </c>
      <c r="C806" s="27" t="s">
        <v>45</v>
      </c>
      <c r="D806" s="24" t="s">
        <v>1458</v>
      </c>
      <c r="E806" s="267" t="s">
        <v>1459</v>
      </c>
      <c r="F806" s="46" t="s">
        <v>20</v>
      </c>
      <c r="G806" s="48"/>
      <c r="H806" s="73" t="s">
        <v>1403</v>
      </c>
      <c r="I806" s="63" t="s">
        <v>22</v>
      </c>
      <c r="J806" s="26" t="s">
        <v>50</v>
      </c>
      <c r="K806" s="64">
        <v>43475</v>
      </c>
      <c r="L806" s="64">
        <v>43475</v>
      </c>
      <c r="M806" s="214">
        <v>45474</v>
      </c>
      <c r="N806" s="98">
        <v>47299</v>
      </c>
    </row>
    <row r="807" spans="1:14" ht="24.95" customHeight="1">
      <c r="B807" s="76" t="s">
        <v>44</v>
      </c>
      <c r="C807" s="27" t="s">
        <v>45</v>
      </c>
      <c r="D807" s="24" t="s">
        <v>1960</v>
      </c>
      <c r="E807" s="89" t="s">
        <v>1460</v>
      </c>
      <c r="F807" s="46" t="s">
        <v>20</v>
      </c>
      <c r="G807" s="48">
        <v>27195</v>
      </c>
      <c r="H807" s="73" t="s">
        <v>1403</v>
      </c>
      <c r="I807" s="63" t="s">
        <v>22</v>
      </c>
      <c r="J807" s="26" t="s">
        <v>50</v>
      </c>
      <c r="K807" s="64">
        <v>42325</v>
      </c>
      <c r="L807" s="64">
        <v>43770</v>
      </c>
      <c r="M807" s="214">
        <v>45474</v>
      </c>
      <c r="N807" s="98">
        <v>47299</v>
      </c>
    </row>
    <row r="808" spans="1:14" ht="24.95" customHeight="1">
      <c r="A808" s="76">
        <v>8</v>
      </c>
      <c r="B808" s="76" t="s">
        <v>100</v>
      </c>
      <c r="C808" s="27" t="s">
        <v>1037</v>
      </c>
      <c r="D808" s="24" t="s">
        <v>1461</v>
      </c>
      <c r="E808" s="256" t="s">
        <v>1462</v>
      </c>
      <c r="F808" s="46" t="s">
        <v>20</v>
      </c>
      <c r="G808" s="48">
        <v>31895</v>
      </c>
      <c r="H808" s="73" t="s">
        <v>1403</v>
      </c>
      <c r="I808" s="63" t="s">
        <v>22</v>
      </c>
      <c r="J808" s="26" t="s">
        <v>30</v>
      </c>
      <c r="K808" s="64">
        <v>45108</v>
      </c>
      <c r="L808" s="64">
        <v>46934</v>
      </c>
      <c r="M808" s="98">
        <v>46934</v>
      </c>
      <c r="N808" s="98">
        <v>46934</v>
      </c>
    </row>
    <row r="809" spans="1:14" ht="24.95" customHeight="1">
      <c r="B809" s="85" t="s">
        <v>1968</v>
      </c>
      <c r="C809" s="27" t="s">
        <v>85</v>
      </c>
      <c r="D809" s="24" t="s">
        <v>1463</v>
      </c>
      <c r="E809" s="89" t="s">
        <v>1464</v>
      </c>
      <c r="F809" s="46" t="s">
        <v>20</v>
      </c>
      <c r="G809" s="48">
        <v>27595</v>
      </c>
      <c r="H809" s="73" t="s">
        <v>1403</v>
      </c>
      <c r="I809" s="63" t="s">
        <v>22</v>
      </c>
      <c r="J809" s="26" t="s">
        <v>50</v>
      </c>
      <c r="K809" s="64">
        <v>37179</v>
      </c>
      <c r="L809" s="64">
        <v>45108</v>
      </c>
      <c r="M809" s="98">
        <v>46934</v>
      </c>
      <c r="N809" s="98">
        <v>46934</v>
      </c>
    </row>
    <row r="810" spans="1:14" ht="24.95" customHeight="1">
      <c r="B810" s="31" t="s">
        <v>1220</v>
      </c>
      <c r="C810" s="27"/>
      <c r="D810" s="24"/>
      <c r="E810" s="89"/>
      <c r="F810" s="46"/>
      <c r="G810" s="48"/>
      <c r="H810" s="73"/>
      <c r="I810" s="63"/>
      <c r="J810" s="26"/>
      <c r="K810" s="64"/>
      <c r="L810" s="64"/>
      <c r="M810" s="98"/>
      <c r="N810" s="98"/>
    </row>
    <row r="811" spans="1:14" ht="24.95" customHeight="1">
      <c r="B811" s="252" t="s">
        <v>1465</v>
      </c>
      <c r="C811" s="27"/>
      <c r="D811" s="24"/>
      <c r="E811" s="89"/>
      <c r="F811" s="46"/>
      <c r="G811" s="48"/>
      <c r="H811" s="73"/>
      <c r="I811" s="63"/>
      <c r="J811" s="26"/>
      <c r="K811" s="64"/>
      <c r="L811" s="64"/>
      <c r="M811" s="98"/>
      <c r="N811" s="98"/>
    </row>
    <row r="812" spans="1:14" s="3" customFormat="1" ht="24.95" customHeight="1">
      <c r="A812" s="76"/>
      <c r="B812" s="85"/>
      <c r="C812" s="27"/>
      <c r="D812" s="132"/>
      <c r="E812" s="126"/>
      <c r="F812" s="126"/>
      <c r="G812" s="133"/>
      <c r="H812" s="137"/>
      <c r="I812" s="126"/>
      <c r="J812" s="126"/>
      <c r="K812" s="138"/>
      <c r="L812" s="138"/>
      <c r="M812" s="139"/>
      <c r="N812" s="139"/>
    </row>
    <row r="813" spans="1:14" s="3" customFormat="1" ht="24.95" customHeight="1">
      <c r="A813" s="76"/>
      <c r="B813" s="137" t="s">
        <v>1466</v>
      </c>
      <c r="C813" s="198"/>
    </row>
    <row r="814" spans="1:14" s="3" customFormat="1" ht="24.95" customHeight="1">
      <c r="A814" s="76"/>
      <c r="B814" s="76" t="s">
        <v>291</v>
      </c>
      <c r="C814" s="27" t="s">
        <v>146</v>
      </c>
      <c r="D814" s="95" t="s">
        <v>1967</v>
      </c>
      <c r="E814" s="46" t="e">
        <f>#REF!</f>
        <v>#REF!</v>
      </c>
      <c r="F814" s="46" t="e">
        <f>#REF!</f>
        <v>#REF!</v>
      </c>
      <c r="G814" s="48" t="e">
        <f>#REF!</f>
        <v>#REF!</v>
      </c>
      <c r="H814" s="73" t="str">
        <f>$H$815</f>
        <v>Mbarara ZARDI</v>
      </c>
      <c r="I814" s="63" t="e">
        <f>#REF!</f>
        <v>#REF!</v>
      </c>
      <c r="J814" s="26" t="e">
        <f>#REF!</f>
        <v>#REF!</v>
      </c>
      <c r="K814" s="95" t="e">
        <f>#REF!</f>
        <v>#REF!</v>
      </c>
      <c r="L814" s="95" t="e">
        <f>#REF!</f>
        <v>#REF!</v>
      </c>
      <c r="M814" s="95" t="e">
        <f>#REF!</f>
        <v>#REF!</v>
      </c>
      <c r="N814" s="95" t="e">
        <f>#REF!</f>
        <v>#REF!</v>
      </c>
    </row>
    <row r="815" spans="1:14" s="3" customFormat="1" ht="24.95" customHeight="1">
      <c r="A815" s="76"/>
      <c r="B815" s="76" t="s">
        <v>320</v>
      </c>
      <c r="C815" s="27" t="s">
        <v>632</v>
      </c>
      <c r="D815" s="24" t="s">
        <v>1467</v>
      </c>
      <c r="E815" s="26" t="s">
        <v>1468</v>
      </c>
      <c r="F815" s="46" t="s">
        <v>29</v>
      </c>
      <c r="G815" s="48">
        <v>26539</v>
      </c>
      <c r="H815" s="73" t="s">
        <v>1264</v>
      </c>
      <c r="I815" s="63" t="s">
        <v>22</v>
      </c>
      <c r="J815" s="26" t="s">
        <v>62</v>
      </c>
      <c r="K815" s="64">
        <v>39566</v>
      </c>
      <c r="L815" s="64">
        <v>43282</v>
      </c>
      <c r="M815" s="98">
        <v>45107</v>
      </c>
      <c r="N815" s="98">
        <v>46934</v>
      </c>
    </row>
    <row r="816" spans="1:14" s="3" customFormat="1" ht="24.95" customHeight="1">
      <c r="A816" s="76"/>
      <c r="B816" s="76" t="s">
        <v>320</v>
      </c>
      <c r="C816" s="27" t="s">
        <v>632</v>
      </c>
      <c r="D816" s="24" t="s">
        <v>1863</v>
      </c>
      <c r="E816" s="107" t="s">
        <v>1469</v>
      </c>
      <c r="F816" s="46" t="s">
        <v>20</v>
      </c>
      <c r="G816" s="48">
        <v>25190</v>
      </c>
      <c r="H816" s="73" t="s">
        <v>1264</v>
      </c>
      <c r="I816" s="63" t="s">
        <v>22</v>
      </c>
      <c r="J816" s="26" t="s">
        <v>62</v>
      </c>
      <c r="K816" s="64">
        <v>39566</v>
      </c>
      <c r="L816" s="64">
        <v>44683</v>
      </c>
      <c r="M816" s="98">
        <v>45107</v>
      </c>
      <c r="N816" s="98">
        <v>46934</v>
      </c>
    </row>
    <row r="817" spans="1:14" s="3" customFormat="1" ht="24.95" customHeight="1">
      <c r="A817" s="121"/>
      <c r="B817" s="76" t="s">
        <v>320</v>
      </c>
      <c r="C817" s="27" t="s">
        <v>632</v>
      </c>
      <c r="D817" s="24" t="s">
        <v>1864</v>
      </c>
      <c r="E817" s="263" t="s">
        <v>1473</v>
      </c>
      <c r="F817" s="46" t="s">
        <v>20</v>
      </c>
      <c r="G817" s="48">
        <v>33169</v>
      </c>
      <c r="H817" s="73" t="s">
        <v>1264</v>
      </c>
      <c r="I817" s="63" t="s">
        <v>22</v>
      </c>
      <c r="J817" s="26" t="s">
        <v>62</v>
      </c>
      <c r="K817" s="64">
        <v>43613</v>
      </c>
      <c r="L817" s="64">
        <v>45747</v>
      </c>
      <c r="M817" s="214">
        <v>45474</v>
      </c>
      <c r="N817" s="98">
        <v>47299</v>
      </c>
    </row>
    <row r="818" spans="1:14" s="3" customFormat="1" ht="24.95" customHeight="1">
      <c r="A818" s="83"/>
      <c r="B818" s="76" t="s">
        <v>524</v>
      </c>
      <c r="C818" s="27" t="s">
        <v>719</v>
      </c>
      <c r="D818" s="24" t="s">
        <v>1470</v>
      </c>
      <c r="E818" s="107" t="s">
        <v>1471</v>
      </c>
      <c r="F818" s="46" t="s">
        <v>29</v>
      </c>
      <c r="G818" s="48">
        <v>31372</v>
      </c>
      <c r="H818" s="73" t="s">
        <v>1264</v>
      </c>
      <c r="I818" s="63" t="s">
        <v>22</v>
      </c>
      <c r="J818" s="26" t="s">
        <v>62</v>
      </c>
      <c r="K818" s="64">
        <v>40508</v>
      </c>
      <c r="L818" s="64">
        <v>42614</v>
      </c>
      <c r="M818" s="98">
        <v>45107</v>
      </c>
      <c r="N818" s="98">
        <v>46934</v>
      </c>
    </row>
    <row r="819" spans="1:14" s="3" customFormat="1" ht="24.95" customHeight="1">
      <c r="A819" s="83"/>
      <c r="B819" s="76" t="s">
        <v>524</v>
      </c>
      <c r="C819" s="27" t="s">
        <v>719</v>
      </c>
      <c r="D819" s="24" t="s">
        <v>1865</v>
      </c>
      <c r="E819" s="26" t="s">
        <v>1472</v>
      </c>
      <c r="F819" s="46" t="s">
        <v>20</v>
      </c>
      <c r="G819" s="48">
        <v>26947</v>
      </c>
      <c r="H819" s="73" t="s">
        <v>1264</v>
      </c>
      <c r="I819" s="63" t="s">
        <v>22</v>
      </c>
      <c r="J819" s="26" t="s">
        <v>62</v>
      </c>
      <c r="K819" s="64">
        <v>42705</v>
      </c>
      <c r="L819" s="64">
        <v>42705</v>
      </c>
      <c r="M819" s="98">
        <v>45107</v>
      </c>
      <c r="N819" s="98">
        <v>46934</v>
      </c>
    </row>
    <row r="820" spans="1:14" s="3" customFormat="1" ht="24.95" customHeight="1">
      <c r="A820" s="76">
        <v>2</v>
      </c>
      <c r="B820" s="76" t="s">
        <v>524</v>
      </c>
      <c r="C820" s="27" t="s">
        <v>719</v>
      </c>
      <c r="D820" s="24" t="s">
        <v>1474</v>
      </c>
      <c r="E820" s="46" t="s">
        <v>1475</v>
      </c>
      <c r="F820" s="46" t="s">
        <v>20</v>
      </c>
      <c r="G820" s="235">
        <v>30683</v>
      </c>
      <c r="H820" s="73" t="s">
        <v>1264</v>
      </c>
      <c r="I820" s="63" t="s">
        <v>22</v>
      </c>
      <c r="J820" s="26" t="s">
        <v>62</v>
      </c>
      <c r="K820" s="100">
        <v>43894</v>
      </c>
      <c r="L820" s="100">
        <v>43894</v>
      </c>
      <c r="M820" s="214">
        <v>45839</v>
      </c>
      <c r="N820" s="98">
        <v>47664</v>
      </c>
    </row>
    <row r="821" spans="1:14" s="3" customFormat="1" ht="24.95" customHeight="1">
      <c r="A821" s="76">
        <v>3</v>
      </c>
      <c r="B821" s="76" t="s">
        <v>524</v>
      </c>
      <c r="C821" s="27" t="s">
        <v>719</v>
      </c>
      <c r="D821" s="28" t="s">
        <v>1847</v>
      </c>
      <c r="E821" s="46" t="s">
        <v>1855</v>
      </c>
      <c r="F821" s="46" t="s">
        <v>20</v>
      </c>
      <c r="G821" s="235">
        <v>32205</v>
      </c>
      <c r="H821" s="112" t="s">
        <v>1264</v>
      </c>
      <c r="I821" s="63" t="s">
        <v>22</v>
      </c>
      <c r="J821" s="26" t="s">
        <v>62</v>
      </c>
      <c r="K821" s="100">
        <v>46009</v>
      </c>
      <c r="L821" s="100">
        <v>46009</v>
      </c>
      <c r="M821" s="98">
        <v>46027</v>
      </c>
      <c r="N821" s="98">
        <v>47853</v>
      </c>
    </row>
    <row r="822" spans="1:14" s="3" customFormat="1" ht="24.95" customHeight="1">
      <c r="A822" s="76">
        <v>4</v>
      </c>
      <c r="B822" s="76" t="s">
        <v>524</v>
      </c>
      <c r="C822" s="27" t="s">
        <v>719</v>
      </c>
      <c r="D822" s="28" t="s">
        <v>1848</v>
      </c>
      <c r="E822" s="46" t="s">
        <v>1854</v>
      </c>
      <c r="F822" s="46" t="s">
        <v>20</v>
      </c>
      <c r="G822" s="235">
        <v>33001</v>
      </c>
      <c r="H822" s="112" t="s">
        <v>1264</v>
      </c>
      <c r="I822" s="63" t="s">
        <v>22</v>
      </c>
      <c r="J822" s="26" t="s">
        <v>62</v>
      </c>
      <c r="K822" s="100">
        <v>46009</v>
      </c>
      <c r="L822" s="100">
        <v>46009</v>
      </c>
      <c r="M822" s="98">
        <v>46027</v>
      </c>
      <c r="N822" s="98">
        <v>47853</v>
      </c>
    </row>
    <row r="823" spans="1:14" s="3" customFormat="1" ht="24.95" customHeight="1">
      <c r="A823" s="76">
        <v>5</v>
      </c>
      <c r="B823" s="76" t="s">
        <v>360</v>
      </c>
      <c r="C823" s="27" t="s">
        <v>618</v>
      </c>
      <c r="D823" s="24" t="s">
        <v>1476</v>
      </c>
      <c r="E823" s="26" t="s">
        <v>1477</v>
      </c>
      <c r="F823" s="46" t="s">
        <v>20</v>
      </c>
      <c r="G823" s="48">
        <v>27476</v>
      </c>
      <c r="H823" s="73" t="s">
        <v>1264</v>
      </c>
      <c r="I823" s="63" t="s">
        <v>22</v>
      </c>
      <c r="J823" s="26" t="s">
        <v>70</v>
      </c>
      <c r="K823" s="64">
        <v>42248</v>
      </c>
      <c r="L823" s="64">
        <v>42248</v>
      </c>
      <c r="M823" s="214">
        <v>45474</v>
      </c>
      <c r="N823" s="98">
        <v>47299</v>
      </c>
    </row>
    <row r="824" spans="1:14" ht="24.95" customHeight="1">
      <c r="A824" s="76">
        <v>7</v>
      </c>
      <c r="B824" s="76" t="s">
        <v>621</v>
      </c>
      <c r="C824" s="27" t="s">
        <v>622</v>
      </c>
      <c r="D824" s="84" t="s">
        <v>1478</v>
      </c>
      <c r="E824" s="26" t="s">
        <v>1479</v>
      </c>
      <c r="F824" s="46" t="s">
        <v>29</v>
      </c>
      <c r="G824" s="48">
        <v>27672</v>
      </c>
      <c r="H824" s="73" t="s">
        <v>1264</v>
      </c>
      <c r="I824" s="63" t="s">
        <v>22</v>
      </c>
      <c r="J824" s="26" t="s">
        <v>70</v>
      </c>
      <c r="K824" s="64">
        <v>39449</v>
      </c>
      <c r="L824" s="64">
        <v>42795</v>
      </c>
      <c r="M824" s="214">
        <v>45474</v>
      </c>
      <c r="N824" s="98">
        <v>47299</v>
      </c>
    </row>
    <row r="825" spans="1:14" ht="24.95" customHeight="1">
      <c r="A825" s="76">
        <v>8</v>
      </c>
      <c r="B825" s="76" t="s">
        <v>621</v>
      </c>
      <c r="C825" s="27" t="s">
        <v>622</v>
      </c>
      <c r="D825" s="24" t="s">
        <v>1480</v>
      </c>
      <c r="E825" s="107" t="s">
        <v>1481</v>
      </c>
      <c r="F825" s="46" t="s">
        <v>29</v>
      </c>
      <c r="G825" s="48">
        <v>27024</v>
      </c>
      <c r="H825" s="73" t="s">
        <v>1264</v>
      </c>
      <c r="I825" s="63" t="s">
        <v>22</v>
      </c>
      <c r="J825" s="26" t="s">
        <v>70</v>
      </c>
      <c r="K825" s="64">
        <v>39449</v>
      </c>
      <c r="L825" s="64">
        <v>42795</v>
      </c>
      <c r="M825" s="214">
        <v>45474</v>
      </c>
      <c r="N825" s="98">
        <v>47299</v>
      </c>
    </row>
    <row r="826" spans="1:14" ht="24.95" customHeight="1">
      <c r="A826" s="76">
        <v>11</v>
      </c>
      <c r="B826" s="76" t="s">
        <v>627</v>
      </c>
      <c r="C826" s="27" t="s">
        <v>836</v>
      </c>
      <c r="D826" s="24" t="s">
        <v>1482</v>
      </c>
      <c r="E826" s="26" t="s">
        <v>1483</v>
      </c>
      <c r="F826" s="46" t="s">
        <v>20</v>
      </c>
      <c r="G826" s="48">
        <v>27386</v>
      </c>
      <c r="H826" s="73" t="s">
        <v>1264</v>
      </c>
      <c r="I826" s="63" t="s">
        <v>22</v>
      </c>
      <c r="J826" s="26" t="s">
        <v>70</v>
      </c>
      <c r="K826" s="64">
        <v>40477</v>
      </c>
      <c r="L826" s="64">
        <v>40477</v>
      </c>
      <c r="M826" s="98">
        <v>45107</v>
      </c>
      <c r="N826" s="98">
        <v>46934</v>
      </c>
    </row>
    <row r="827" spans="1:14" ht="24.95" customHeight="1">
      <c r="A827" s="76">
        <v>12</v>
      </c>
      <c r="B827" s="76" t="s">
        <v>627</v>
      </c>
      <c r="C827" s="27" t="s">
        <v>836</v>
      </c>
      <c r="D827" s="24" t="s">
        <v>1484</v>
      </c>
      <c r="E827" s="90" t="s">
        <v>1485</v>
      </c>
      <c r="F827" s="46" t="s">
        <v>20</v>
      </c>
      <c r="G827" s="48">
        <v>29146</v>
      </c>
      <c r="H827" s="73" t="s">
        <v>1264</v>
      </c>
      <c r="I827" s="63" t="s">
        <v>22</v>
      </c>
      <c r="J827" s="26" t="s">
        <v>70</v>
      </c>
      <c r="K827" s="64">
        <v>40917</v>
      </c>
      <c r="L827" s="64">
        <v>40917</v>
      </c>
      <c r="M827" s="98">
        <v>45107</v>
      </c>
      <c r="N827" s="98">
        <v>46934</v>
      </c>
    </row>
    <row r="828" spans="1:14" ht="24.95" customHeight="1">
      <c r="B828" s="76" t="s">
        <v>627</v>
      </c>
      <c r="C828" s="27" t="s">
        <v>836</v>
      </c>
      <c r="D828" s="24" t="s">
        <v>1486</v>
      </c>
      <c r="E828" s="26" t="s">
        <v>1487</v>
      </c>
      <c r="F828" s="46" t="s">
        <v>20</v>
      </c>
      <c r="G828" s="48">
        <v>28710</v>
      </c>
      <c r="H828" s="73" t="s">
        <v>1264</v>
      </c>
      <c r="I828" s="63" t="s">
        <v>22</v>
      </c>
      <c r="J828" s="26" t="s">
        <v>70</v>
      </c>
      <c r="K828" s="64">
        <v>40917</v>
      </c>
      <c r="L828" s="64">
        <v>40917</v>
      </c>
      <c r="M828" s="98">
        <v>45839</v>
      </c>
      <c r="N828" s="98">
        <v>47664</v>
      </c>
    </row>
    <row r="829" spans="1:14" ht="24.95" customHeight="1">
      <c r="A829" s="76">
        <v>14</v>
      </c>
      <c r="B829" s="76" t="s">
        <v>627</v>
      </c>
      <c r="C829" s="27" t="s">
        <v>836</v>
      </c>
      <c r="D829" s="24" t="s">
        <v>1488</v>
      </c>
      <c r="E829" s="26" t="s">
        <v>1489</v>
      </c>
      <c r="F829" s="46" t="s">
        <v>20</v>
      </c>
      <c r="G829" s="48">
        <v>33615</v>
      </c>
      <c r="H829" s="73" t="s">
        <v>1264</v>
      </c>
      <c r="I829" s="63" t="s">
        <v>22</v>
      </c>
      <c r="J829" s="26" t="s">
        <v>70</v>
      </c>
      <c r="K829" s="64">
        <v>42737</v>
      </c>
      <c r="L829" s="64">
        <v>42737</v>
      </c>
      <c r="M829" s="98">
        <v>45107</v>
      </c>
      <c r="N829" s="98">
        <v>46934</v>
      </c>
    </row>
    <row r="830" spans="1:14" s="3" customFormat="1" ht="24.95" customHeight="1">
      <c r="A830" s="76">
        <v>15</v>
      </c>
      <c r="B830" s="76" t="s">
        <v>627</v>
      </c>
      <c r="C830" s="27" t="s">
        <v>836</v>
      </c>
      <c r="D830" s="24" t="s">
        <v>1492</v>
      </c>
      <c r="E830" s="263" t="s">
        <v>1493</v>
      </c>
      <c r="F830" s="46" t="s">
        <v>20</v>
      </c>
      <c r="G830" s="48">
        <v>33200</v>
      </c>
      <c r="H830" s="73" t="s">
        <v>1264</v>
      </c>
      <c r="I830" s="63" t="s">
        <v>22</v>
      </c>
      <c r="J830" s="26" t="s">
        <v>70</v>
      </c>
      <c r="K830" s="64">
        <v>43669</v>
      </c>
      <c r="L830" s="64">
        <v>43669</v>
      </c>
      <c r="M830" s="214">
        <v>45474</v>
      </c>
      <c r="N830" s="98">
        <v>47299</v>
      </c>
    </row>
    <row r="831" spans="1:14" s="3" customFormat="1" ht="24.95" customHeight="1">
      <c r="A831" s="76"/>
      <c r="B831" s="76" t="s">
        <v>627</v>
      </c>
      <c r="C831" s="27" t="s">
        <v>836</v>
      </c>
      <c r="D831" s="24" t="s">
        <v>1494</v>
      </c>
      <c r="E831" s="263" t="s">
        <v>1495</v>
      </c>
      <c r="F831" s="46" t="s">
        <v>29</v>
      </c>
      <c r="G831" s="48">
        <v>36185</v>
      </c>
      <c r="H831" s="73" t="s">
        <v>1264</v>
      </c>
      <c r="I831" s="63" t="s">
        <v>22</v>
      </c>
      <c r="J831" s="26" t="s">
        <v>70</v>
      </c>
      <c r="K831" s="64">
        <v>45434</v>
      </c>
      <c r="L831" s="64">
        <v>45434</v>
      </c>
      <c r="M831" s="64">
        <v>45434</v>
      </c>
      <c r="N831" s="64">
        <v>47259</v>
      </c>
    </row>
    <row r="832" spans="1:14" s="3" customFormat="1" ht="24.95" customHeight="1">
      <c r="A832" s="76"/>
      <c r="B832" s="76" t="s">
        <v>627</v>
      </c>
      <c r="C832" s="27" t="s">
        <v>836</v>
      </c>
      <c r="D832" s="24" t="s">
        <v>1674</v>
      </c>
      <c r="E832" s="26" t="s">
        <v>1675</v>
      </c>
      <c r="F832" s="46" t="s">
        <v>20</v>
      </c>
      <c r="G832" s="48">
        <v>31991</v>
      </c>
      <c r="H832" s="73" t="s">
        <v>1264</v>
      </c>
      <c r="I832" s="63" t="s">
        <v>22</v>
      </c>
      <c r="J832" s="26" t="s">
        <v>70</v>
      </c>
      <c r="K832" s="64">
        <v>40897</v>
      </c>
      <c r="L832" s="64">
        <v>40897</v>
      </c>
      <c r="M832" s="65">
        <v>45839</v>
      </c>
      <c r="N832" s="65">
        <v>47299</v>
      </c>
    </row>
    <row r="833" spans="1:14" s="3" customFormat="1" ht="24.95" customHeight="1">
      <c r="A833" s="76"/>
      <c r="B833" s="31" t="s">
        <v>1196</v>
      </c>
      <c r="C833" s="76"/>
      <c r="D833" s="8"/>
      <c r="E833" s="35"/>
      <c r="F833" s="35"/>
      <c r="G833" s="47"/>
      <c r="H833" s="35"/>
      <c r="I833" s="35"/>
      <c r="J833" s="35"/>
      <c r="K833" s="100"/>
      <c r="L833" s="100"/>
      <c r="M833" s="62"/>
      <c r="N833" s="62"/>
    </row>
    <row r="834" spans="1:14" s="3" customFormat="1" ht="24.95" customHeight="1">
      <c r="A834" s="76"/>
      <c r="B834" s="252" t="s">
        <v>1197</v>
      </c>
      <c r="C834" s="76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spans="1:14" s="3" customFormat="1" ht="24.95" customHeight="1">
      <c r="A835" s="83">
        <v>1</v>
      </c>
      <c r="B835" s="76" t="s">
        <v>650</v>
      </c>
      <c r="C835" s="27" t="s">
        <v>55</v>
      </c>
      <c r="D835" s="95" t="s">
        <v>1843</v>
      </c>
      <c r="E835" s="3" t="s">
        <v>1856</v>
      </c>
      <c r="F835" s="3" t="s">
        <v>20</v>
      </c>
      <c r="G835" s="328">
        <v>27010</v>
      </c>
      <c r="H835" s="73" t="s">
        <v>1264</v>
      </c>
      <c r="I835" s="63" t="s">
        <v>22</v>
      </c>
      <c r="J835" s="95" t="s">
        <v>23</v>
      </c>
      <c r="K835" s="64">
        <v>45992</v>
      </c>
      <c r="L835" s="64">
        <v>45992</v>
      </c>
      <c r="M835" s="64">
        <v>45992</v>
      </c>
      <c r="N835" s="64">
        <v>47817</v>
      </c>
    </row>
    <row r="836" spans="1:14" s="3" customFormat="1" ht="24.95" customHeight="1">
      <c r="A836" s="76">
        <v>2</v>
      </c>
      <c r="B836" s="76" t="s">
        <v>662</v>
      </c>
      <c r="C836" s="27" t="s">
        <v>39</v>
      </c>
      <c r="D836" s="24" t="s">
        <v>1498</v>
      </c>
      <c r="E836" s="26" t="s">
        <v>1499</v>
      </c>
      <c r="F836" s="46" t="s">
        <v>29</v>
      </c>
      <c r="G836" s="48">
        <v>31406</v>
      </c>
      <c r="H836" s="73" t="s">
        <v>1264</v>
      </c>
      <c r="I836" s="63" t="s">
        <v>22</v>
      </c>
      <c r="J836" s="26" t="s">
        <v>30</v>
      </c>
      <c r="K836" s="64">
        <v>41295</v>
      </c>
      <c r="L836" s="64">
        <v>41295</v>
      </c>
      <c r="M836" s="98">
        <v>45107</v>
      </c>
      <c r="N836" s="98">
        <v>46934</v>
      </c>
    </row>
    <row r="837" spans="1:14" s="3" customFormat="1" ht="24.95" customHeight="1">
      <c r="A837" s="76"/>
      <c r="B837" s="76" t="s">
        <v>212</v>
      </c>
      <c r="C837" s="27" t="s">
        <v>39</v>
      </c>
      <c r="D837" s="80" t="s">
        <v>1500</v>
      </c>
      <c r="E837" s="263" t="s">
        <v>718</v>
      </c>
      <c r="F837" s="46" t="s">
        <v>29</v>
      </c>
      <c r="G837" s="48">
        <v>33686</v>
      </c>
      <c r="H837" s="73" t="s">
        <v>1264</v>
      </c>
      <c r="I837" s="63" t="s">
        <v>22</v>
      </c>
      <c r="J837" s="26" t="s">
        <v>30</v>
      </c>
      <c r="K837" s="64">
        <v>43587</v>
      </c>
      <c r="L837" s="64">
        <v>45392</v>
      </c>
      <c r="M837" s="62">
        <v>45474</v>
      </c>
      <c r="N837" s="62">
        <v>47299</v>
      </c>
    </row>
    <row r="838" spans="1:14" s="3" customFormat="1" ht="24.95" customHeight="1">
      <c r="A838" s="76"/>
      <c r="B838" s="76" t="s">
        <v>1199</v>
      </c>
      <c r="C838" s="27" t="s">
        <v>39</v>
      </c>
      <c r="D838" s="80"/>
      <c r="E838" s="263"/>
      <c r="F838" s="46"/>
      <c r="G838" s="48"/>
      <c r="H838" s="73"/>
      <c r="I838" s="63"/>
      <c r="J838" s="26"/>
      <c r="K838" s="64"/>
      <c r="L838" s="64"/>
      <c r="M838" s="62"/>
      <c r="N838" s="62"/>
    </row>
    <row r="839" spans="1:14" s="3" customFormat="1" ht="24.95" customHeight="1">
      <c r="A839" s="76">
        <v>3</v>
      </c>
      <c r="B839" s="76" t="s">
        <v>655</v>
      </c>
      <c r="C839" s="27" t="s">
        <v>35</v>
      </c>
      <c r="D839" s="149" t="s">
        <v>656</v>
      </c>
      <c r="E839" s="87" t="s">
        <v>657</v>
      </c>
      <c r="F839" s="87" t="s">
        <v>20</v>
      </c>
      <c r="G839" s="156">
        <v>28249</v>
      </c>
      <c r="H839" s="73" t="s">
        <v>1264</v>
      </c>
      <c r="I839" s="166" t="s">
        <v>22</v>
      </c>
      <c r="J839" s="108" t="s">
        <v>30</v>
      </c>
      <c r="K839" s="167">
        <v>40406</v>
      </c>
      <c r="L839" s="167">
        <v>42795</v>
      </c>
      <c r="M839" s="160">
        <v>45108</v>
      </c>
      <c r="N839" s="160">
        <v>46934</v>
      </c>
    </row>
    <row r="840" spans="1:14" s="3" customFormat="1" ht="24.95" customHeight="1">
      <c r="A840" s="76"/>
      <c r="B840" s="76" t="s">
        <v>83</v>
      </c>
      <c r="C840" s="27" t="s">
        <v>39</v>
      </c>
      <c r="D840" s="27" t="s">
        <v>1723</v>
      </c>
      <c r="E840" s="35" t="s">
        <v>1724</v>
      </c>
      <c r="F840" s="46" t="s">
        <v>20</v>
      </c>
      <c r="G840" s="48">
        <v>34146</v>
      </c>
      <c r="H840" s="73" t="s">
        <v>1264</v>
      </c>
      <c r="I840" s="63" t="s">
        <v>22</v>
      </c>
      <c r="J840" s="26" t="s">
        <v>30</v>
      </c>
      <c r="K840" s="64">
        <v>45747</v>
      </c>
      <c r="L840" s="64">
        <v>45747</v>
      </c>
      <c r="M840" s="64">
        <v>45748</v>
      </c>
      <c r="N840" s="98">
        <v>47573</v>
      </c>
    </row>
    <row r="841" spans="1:14" s="14" customFormat="1" ht="24.95" customHeight="1">
      <c r="A841" s="76"/>
      <c r="B841" s="24" t="s">
        <v>540</v>
      </c>
      <c r="C841" s="27" t="s">
        <v>39</v>
      </c>
      <c r="D841" s="24" t="s">
        <v>541</v>
      </c>
      <c r="E841" s="76" t="s">
        <v>542</v>
      </c>
      <c r="F841" s="86" t="s">
        <v>20</v>
      </c>
      <c r="G841" s="154">
        <v>26494</v>
      </c>
      <c r="H841" s="73" t="s">
        <v>1264</v>
      </c>
      <c r="I841" s="97" t="s">
        <v>22</v>
      </c>
      <c r="J841" s="27" t="s">
        <v>30</v>
      </c>
      <c r="K841" s="159">
        <v>37636</v>
      </c>
      <c r="L841" s="159">
        <v>41760</v>
      </c>
      <c r="M841" s="160">
        <v>45474</v>
      </c>
      <c r="N841" s="160">
        <v>47299</v>
      </c>
    </row>
    <row r="842" spans="1:14" s="3" customFormat="1" ht="24.95" customHeight="1">
      <c r="A842" s="76"/>
      <c r="B842" s="85" t="s">
        <v>1503</v>
      </c>
      <c r="C842" s="27" t="s">
        <v>39</v>
      </c>
      <c r="D842" s="24" t="s">
        <v>1504</v>
      </c>
      <c r="E842" s="26" t="s">
        <v>1505</v>
      </c>
      <c r="F842" s="46" t="s">
        <v>29</v>
      </c>
      <c r="G842" s="48">
        <v>30682</v>
      </c>
      <c r="H842" s="63" t="s">
        <v>1264</v>
      </c>
      <c r="I842" s="63" t="s">
        <v>22</v>
      </c>
      <c r="J842" s="26" t="s">
        <v>30</v>
      </c>
      <c r="K842" s="64">
        <v>40917</v>
      </c>
      <c r="L842" s="64">
        <v>45392</v>
      </c>
      <c r="M842" s="98">
        <v>45839</v>
      </c>
      <c r="N842" s="98">
        <v>47664</v>
      </c>
    </row>
    <row r="843" spans="1:14" s="3" customFormat="1" ht="24.95" customHeight="1">
      <c r="A843" s="76"/>
      <c r="B843" s="85" t="s">
        <v>221</v>
      </c>
      <c r="C843" s="27" t="s">
        <v>41</v>
      </c>
      <c r="D843" s="24" t="s">
        <v>1506</v>
      </c>
      <c r="E843" s="49" t="s">
        <v>1507</v>
      </c>
      <c r="F843" s="46" t="s">
        <v>29</v>
      </c>
      <c r="G843" s="48">
        <v>32541</v>
      </c>
      <c r="H843" s="63" t="s">
        <v>1264</v>
      </c>
      <c r="I843" s="63" t="s">
        <v>22</v>
      </c>
      <c r="J843" s="26" t="s">
        <v>30</v>
      </c>
      <c r="K843" s="64">
        <v>43076</v>
      </c>
      <c r="L843" s="64">
        <v>45278</v>
      </c>
      <c r="M843" s="65">
        <v>45108</v>
      </c>
      <c r="N843" s="65">
        <v>46934</v>
      </c>
    </row>
    <row r="844" spans="1:14" ht="24.95" customHeight="1">
      <c r="A844" s="76">
        <v>6</v>
      </c>
      <c r="B844" s="76" t="s">
        <v>226</v>
      </c>
      <c r="C844" s="27" t="s">
        <v>85</v>
      </c>
      <c r="D844" s="24" t="s">
        <v>1508</v>
      </c>
      <c r="E844" s="107" t="s">
        <v>1509</v>
      </c>
      <c r="F844" s="46" t="s">
        <v>29</v>
      </c>
      <c r="G844" s="48">
        <v>25748</v>
      </c>
      <c r="H844" s="63" t="s">
        <v>1264</v>
      </c>
      <c r="I844" s="63" t="s">
        <v>22</v>
      </c>
      <c r="J844" s="26" t="s">
        <v>30</v>
      </c>
      <c r="K844" s="64">
        <v>37249</v>
      </c>
      <c r="L844" s="64">
        <v>37249</v>
      </c>
      <c r="M844" s="62">
        <v>45474</v>
      </c>
      <c r="N844" s="62">
        <v>47299</v>
      </c>
    </row>
    <row r="845" spans="1:14" ht="24.95" customHeight="1">
      <c r="A845" s="76">
        <v>8</v>
      </c>
      <c r="B845" s="76" t="s">
        <v>44</v>
      </c>
      <c r="C845" s="27" t="s">
        <v>45</v>
      </c>
      <c r="D845" s="24" t="s">
        <v>1510</v>
      </c>
      <c r="E845" s="107" t="s">
        <v>1511</v>
      </c>
      <c r="F845" s="46" t="s">
        <v>20</v>
      </c>
      <c r="G845" s="48">
        <v>25861</v>
      </c>
      <c r="H845" s="73" t="s">
        <v>1264</v>
      </c>
      <c r="I845" s="63" t="s">
        <v>22</v>
      </c>
      <c r="J845" s="26" t="s">
        <v>50</v>
      </c>
      <c r="K845" s="64">
        <v>39402</v>
      </c>
      <c r="L845" s="64">
        <v>39402</v>
      </c>
      <c r="M845" s="98">
        <v>45474</v>
      </c>
      <c r="N845" s="98">
        <v>47299</v>
      </c>
    </row>
    <row r="846" spans="1:14" ht="24.95" customHeight="1">
      <c r="B846" s="76" t="s">
        <v>44</v>
      </c>
      <c r="C846" s="27" t="s">
        <v>45</v>
      </c>
      <c r="D846" s="24" t="s">
        <v>1512</v>
      </c>
      <c r="E846" s="107" t="s">
        <v>1513</v>
      </c>
      <c r="F846" s="46" t="s">
        <v>20</v>
      </c>
      <c r="G846" s="48">
        <v>29213</v>
      </c>
      <c r="H846" s="73" t="s">
        <v>1264</v>
      </c>
      <c r="I846" s="63" t="s">
        <v>22</v>
      </c>
      <c r="J846" s="26" t="s">
        <v>50</v>
      </c>
      <c r="K846" s="64">
        <v>39546</v>
      </c>
      <c r="L846" s="64">
        <v>39546</v>
      </c>
      <c r="M846" s="98">
        <v>45107</v>
      </c>
      <c r="N846" s="98">
        <v>46934</v>
      </c>
    </row>
    <row r="847" spans="1:14" s="3" customFormat="1" ht="24.95" customHeight="1">
      <c r="A847" s="76">
        <v>9</v>
      </c>
      <c r="B847" s="76" t="s">
        <v>44</v>
      </c>
      <c r="C847" s="27" t="s">
        <v>45</v>
      </c>
      <c r="D847" s="84" t="s">
        <v>1514</v>
      </c>
      <c r="E847" s="26" t="s">
        <v>1515</v>
      </c>
      <c r="F847" s="46" t="s">
        <v>20</v>
      </c>
      <c r="G847" s="48">
        <v>30988</v>
      </c>
      <c r="H847" s="73" t="s">
        <v>1264</v>
      </c>
      <c r="I847" s="63" t="s">
        <v>22</v>
      </c>
      <c r="J847" s="26" t="s">
        <v>50</v>
      </c>
      <c r="K847" s="64">
        <v>40917</v>
      </c>
      <c r="L847" s="64">
        <v>40917</v>
      </c>
      <c r="M847" s="98">
        <v>45839</v>
      </c>
      <c r="N847" s="98">
        <v>47664</v>
      </c>
    </row>
    <row r="848" spans="1:14" ht="24.95" customHeight="1">
      <c r="B848" s="76" t="s">
        <v>577</v>
      </c>
      <c r="C848" s="27" t="s">
        <v>47</v>
      </c>
      <c r="D848" s="24" t="s">
        <v>1516</v>
      </c>
      <c r="E848" s="26" t="s">
        <v>1517</v>
      </c>
      <c r="F848" s="46" t="s">
        <v>20</v>
      </c>
      <c r="G848" s="48">
        <v>27539</v>
      </c>
      <c r="H848" s="63" t="s">
        <v>1264</v>
      </c>
      <c r="I848" s="63" t="s">
        <v>22</v>
      </c>
      <c r="J848" s="26" t="s">
        <v>50</v>
      </c>
      <c r="K848" s="64">
        <v>40917</v>
      </c>
      <c r="L848" s="64">
        <v>40917</v>
      </c>
      <c r="M848" s="98">
        <v>45839</v>
      </c>
      <c r="N848" s="98">
        <v>47664</v>
      </c>
    </row>
    <row r="849" spans="1:14" ht="24.95" customHeight="1">
      <c r="B849" s="76" t="s">
        <v>100</v>
      </c>
      <c r="C849" s="27" t="s">
        <v>47</v>
      </c>
      <c r="D849" s="84" t="s">
        <v>1518</v>
      </c>
      <c r="E849" s="263" t="s">
        <v>1519</v>
      </c>
      <c r="F849" s="46" t="s">
        <v>20</v>
      </c>
      <c r="G849" s="48">
        <v>31034</v>
      </c>
      <c r="H849" s="63" t="s">
        <v>1264</v>
      </c>
      <c r="I849" s="63" t="s">
        <v>22</v>
      </c>
      <c r="J849" s="26" t="s">
        <v>50</v>
      </c>
      <c r="K849" s="64">
        <v>43297</v>
      </c>
      <c r="L849" s="64">
        <v>43297</v>
      </c>
      <c r="M849" s="98">
        <v>45839</v>
      </c>
      <c r="N849" s="98">
        <v>47664</v>
      </c>
    </row>
    <row r="850" spans="1:14" ht="24.95" customHeight="1">
      <c r="B850" s="31" t="s">
        <v>1220</v>
      </c>
      <c r="C850" s="27"/>
      <c r="D850" s="129"/>
      <c r="E850" s="35"/>
      <c r="F850" s="35"/>
      <c r="G850" s="47"/>
      <c r="H850" s="215"/>
      <c r="I850" s="35"/>
      <c r="J850" s="35"/>
      <c r="K850" s="100"/>
      <c r="L850" s="100"/>
      <c r="M850" s="62"/>
      <c r="N850" s="62"/>
    </row>
    <row r="851" spans="1:14" ht="24.95" customHeight="1">
      <c r="B851" s="252" t="s">
        <v>1520</v>
      </c>
      <c r="C851" s="27"/>
      <c r="D851" s="129"/>
      <c r="E851" s="35"/>
      <c r="F851" s="35"/>
      <c r="G851" s="47"/>
      <c r="H851" s="215"/>
      <c r="I851" s="35"/>
      <c r="J851" s="35"/>
      <c r="K851" s="100"/>
      <c r="L851" s="100"/>
      <c r="M851" s="62"/>
      <c r="N851" s="62"/>
    </row>
    <row r="852" spans="1:14" ht="24.95" customHeight="1">
      <c r="B852" s="137" t="s">
        <v>1521</v>
      </c>
      <c r="C852" s="198"/>
      <c r="D852" s="122"/>
      <c r="E852" s="126"/>
      <c r="F852" s="126"/>
      <c r="G852" s="133"/>
      <c r="H852" s="137"/>
      <c r="I852" s="126"/>
      <c r="J852" s="126"/>
      <c r="K852" s="138"/>
      <c r="L852" s="100"/>
      <c r="M852" s="138"/>
      <c r="N852" s="139"/>
    </row>
    <row r="853" spans="1:14" ht="24.95" customHeight="1">
      <c r="B853" s="76" t="s">
        <v>320</v>
      </c>
      <c r="C853" s="27" t="s">
        <v>129</v>
      </c>
      <c r="D853" s="24" t="s">
        <v>1522</v>
      </c>
      <c r="E853" s="46" t="s">
        <v>1523</v>
      </c>
      <c r="F853" s="46" t="s">
        <v>20</v>
      </c>
      <c r="G853" s="106">
        <v>27782</v>
      </c>
      <c r="H853" s="112" t="s">
        <v>1524</v>
      </c>
      <c r="I853" s="63" t="s">
        <v>22</v>
      </c>
      <c r="J853" s="26" t="s">
        <v>62</v>
      </c>
      <c r="K853" s="100">
        <v>43842</v>
      </c>
      <c r="L853" s="100">
        <v>43842</v>
      </c>
      <c r="M853" s="98">
        <v>43842</v>
      </c>
      <c r="N853" s="98">
        <v>46203</v>
      </c>
    </row>
    <row r="854" spans="1:14" ht="24.95" customHeight="1">
      <c r="B854" s="76" t="s">
        <v>320</v>
      </c>
      <c r="C854" s="27" t="s">
        <v>129</v>
      </c>
      <c r="D854" s="24" t="s">
        <v>1525</v>
      </c>
      <c r="E854" s="26" t="s">
        <v>1526</v>
      </c>
      <c r="F854" s="46" t="s">
        <v>20</v>
      </c>
      <c r="G854" s="48">
        <v>28653</v>
      </c>
      <c r="H854" s="73" t="s">
        <v>1524</v>
      </c>
      <c r="I854" s="63" t="s">
        <v>22</v>
      </c>
      <c r="J854" s="26" t="s">
        <v>62</v>
      </c>
      <c r="K854" s="64">
        <v>42080</v>
      </c>
      <c r="L854" s="64">
        <v>45392</v>
      </c>
      <c r="M854" s="214">
        <v>45474</v>
      </c>
      <c r="N854" s="98">
        <v>47299</v>
      </c>
    </row>
    <row r="855" spans="1:14" ht="24.95" customHeight="1">
      <c r="B855" s="76" t="s">
        <v>524</v>
      </c>
      <c r="C855" s="27" t="s">
        <v>123</v>
      </c>
      <c r="D855" s="24" t="s">
        <v>1527</v>
      </c>
      <c r="E855" s="26" t="s">
        <v>1528</v>
      </c>
      <c r="F855" s="46" t="s">
        <v>20</v>
      </c>
      <c r="G855" s="48">
        <v>25252</v>
      </c>
      <c r="H855" s="73" t="s">
        <v>1524</v>
      </c>
      <c r="I855" s="63" t="s">
        <v>22</v>
      </c>
      <c r="J855" s="26" t="s">
        <v>62</v>
      </c>
      <c r="K855" s="64">
        <v>41022</v>
      </c>
      <c r="L855" s="64">
        <v>41022</v>
      </c>
      <c r="M855" s="98">
        <v>45839</v>
      </c>
      <c r="N855" s="98">
        <v>47167</v>
      </c>
    </row>
    <row r="856" spans="1:14" ht="24.95" customHeight="1">
      <c r="A856" s="76">
        <v>1</v>
      </c>
      <c r="B856" s="76" t="s">
        <v>524</v>
      </c>
      <c r="C856" s="27" t="s">
        <v>123</v>
      </c>
      <c r="D856" s="24" t="s">
        <v>1529</v>
      </c>
      <c r="E856" s="257" t="s">
        <v>1530</v>
      </c>
      <c r="F856" s="46" t="s">
        <v>20</v>
      </c>
      <c r="G856" s="48">
        <v>30127</v>
      </c>
      <c r="H856" s="73" t="s">
        <v>1524</v>
      </c>
      <c r="I856" s="63" t="s">
        <v>22</v>
      </c>
      <c r="J856" s="26" t="s">
        <v>62</v>
      </c>
      <c r="K856" s="64">
        <v>39566</v>
      </c>
      <c r="L856" s="64">
        <v>41030</v>
      </c>
      <c r="M856" s="98">
        <v>45839</v>
      </c>
      <c r="N856" s="98">
        <v>47664</v>
      </c>
    </row>
    <row r="857" spans="1:14" ht="24.95" customHeight="1">
      <c r="A857" s="76">
        <v>2</v>
      </c>
      <c r="B857" s="76" t="s">
        <v>524</v>
      </c>
      <c r="C857" s="27" t="s">
        <v>123</v>
      </c>
      <c r="D857" s="24" t="s">
        <v>1531</v>
      </c>
      <c r="E857" s="107" t="s">
        <v>1532</v>
      </c>
      <c r="F857" s="46" t="s">
        <v>20</v>
      </c>
      <c r="G857" s="48">
        <v>24989</v>
      </c>
      <c r="H857" s="73" t="s">
        <v>1524</v>
      </c>
      <c r="I857" s="63" t="s">
        <v>22</v>
      </c>
      <c r="J857" s="26" t="s">
        <v>62</v>
      </c>
      <c r="K857" s="64">
        <v>37923</v>
      </c>
      <c r="L857" s="64">
        <v>41640</v>
      </c>
      <c r="M857" s="98">
        <v>45108</v>
      </c>
      <c r="N857" s="98" t="s">
        <v>551</v>
      </c>
    </row>
    <row r="858" spans="1:14" ht="24.95" customHeight="1">
      <c r="A858" s="76">
        <v>4</v>
      </c>
      <c r="B858" s="76" t="s">
        <v>524</v>
      </c>
      <c r="C858" s="27" t="s">
        <v>123</v>
      </c>
      <c r="D858" s="24" t="s">
        <v>1533</v>
      </c>
      <c r="E858" s="26" t="s">
        <v>1534</v>
      </c>
      <c r="F858" s="46" t="s">
        <v>20</v>
      </c>
      <c r="G858" s="48">
        <v>26121</v>
      </c>
      <c r="H858" s="73" t="s">
        <v>1524</v>
      </c>
      <c r="I858" s="63" t="s">
        <v>22</v>
      </c>
      <c r="J858" s="26" t="s">
        <v>62</v>
      </c>
      <c r="K858" s="64">
        <v>41022</v>
      </c>
      <c r="L858" s="64">
        <v>41671</v>
      </c>
      <c r="M858" s="98">
        <v>45839</v>
      </c>
      <c r="N858" s="98">
        <v>47664</v>
      </c>
    </row>
    <row r="859" spans="1:14" ht="24.95" customHeight="1">
      <c r="A859" s="76">
        <v>5</v>
      </c>
      <c r="B859" s="76" t="s">
        <v>524</v>
      </c>
      <c r="C859" s="27" t="s">
        <v>123</v>
      </c>
      <c r="D859" s="24" t="s">
        <v>1535</v>
      </c>
      <c r="E859" s="26" t="s">
        <v>1536</v>
      </c>
      <c r="F859" s="46" t="s">
        <v>29</v>
      </c>
      <c r="G859" s="48">
        <v>31436</v>
      </c>
      <c r="H859" s="73" t="s">
        <v>1524</v>
      </c>
      <c r="I859" s="63" t="s">
        <v>22</v>
      </c>
      <c r="J859" s="26" t="s">
        <v>62</v>
      </c>
      <c r="K859" s="64">
        <v>42075</v>
      </c>
      <c r="L859" s="64">
        <v>42075</v>
      </c>
      <c r="M859" s="214">
        <v>45474</v>
      </c>
      <c r="N859" s="98">
        <v>47299</v>
      </c>
    </row>
    <row r="860" spans="1:14" ht="24.95" customHeight="1">
      <c r="A860" s="3"/>
      <c r="B860" s="76" t="s">
        <v>524</v>
      </c>
      <c r="C860" s="27" t="s">
        <v>123</v>
      </c>
      <c r="D860" s="24" t="s">
        <v>1537</v>
      </c>
      <c r="E860" s="26" t="s">
        <v>1538</v>
      </c>
      <c r="F860" s="46" t="s">
        <v>20</v>
      </c>
      <c r="G860" s="48">
        <v>31129</v>
      </c>
      <c r="H860" s="73" t="s">
        <v>1524</v>
      </c>
      <c r="I860" s="63" t="s">
        <v>22</v>
      </c>
      <c r="J860" s="26" t="s">
        <v>62</v>
      </c>
      <c r="K860" s="64">
        <v>42082</v>
      </c>
      <c r="L860" s="64">
        <v>42082</v>
      </c>
      <c r="M860" s="214">
        <v>45474</v>
      </c>
      <c r="N860" s="98">
        <v>47299</v>
      </c>
    </row>
    <row r="861" spans="1:14" ht="24.95" customHeight="1">
      <c r="A861" s="76">
        <v>6</v>
      </c>
      <c r="B861" s="76" t="s">
        <v>524</v>
      </c>
      <c r="C861" s="27" t="s">
        <v>123</v>
      </c>
      <c r="D861" s="24" t="s">
        <v>1539</v>
      </c>
      <c r="E861" s="26" t="s">
        <v>1540</v>
      </c>
      <c r="F861" s="46" t="s">
        <v>20</v>
      </c>
      <c r="G861" s="48">
        <v>29234</v>
      </c>
      <c r="H861" s="73" t="s">
        <v>1524</v>
      </c>
      <c r="I861" s="63" t="s">
        <v>22</v>
      </c>
      <c r="J861" s="26" t="s">
        <v>62</v>
      </c>
      <c r="K861" s="64">
        <v>42086</v>
      </c>
      <c r="L861" s="64">
        <v>42086</v>
      </c>
      <c r="M861" s="214">
        <v>45474</v>
      </c>
      <c r="N861" s="98">
        <v>47299</v>
      </c>
    </row>
    <row r="862" spans="1:14" ht="24.95" customHeight="1">
      <c r="A862" s="76">
        <v>7</v>
      </c>
      <c r="B862" s="76" t="s">
        <v>524</v>
      </c>
      <c r="C862" s="27" t="s">
        <v>123</v>
      </c>
      <c r="D862" s="24" t="s">
        <v>1541</v>
      </c>
      <c r="E862" s="26" t="s">
        <v>1542</v>
      </c>
      <c r="F862" s="46" t="s">
        <v>29</v>
      </c>
      <c r="G862" s="48">
        <v>25327</v>
      </c>
      <c r="H862" s="73" t="s">
        <v>1524</v>
      </c>
      <c r="I862" s="63" t="s">
        <v>22</v>
      </c>
      <c r="J862" s="26" t="s">
        <v>62</v>
      </c>
      <c r="K862" s="64">
        <v>42710</v>
      </c>
      <c r="L862" s="64">
        <v>42710</v>
      </c>
      <c r="M862" s="98">
        <v>43647</v>
      </c>
      <c r="N862" s="98" t="s">
        <v>551</v>
      </c>
    </row>
    <row r="863" spans="1:14" ht="24.95" customHeight="1">
      <c r="A863" s="3"/>
      <c r="B863" s="76" t="s">
        <v>524</v>
      </c>
      <c r="C863" s="27" t="s">
        <v>123</v>
      </c>
      <c r="D863" s="24" t="s">
        <v>1543</v>
      </c>
      <c r="E863" s="46" t="s">
        <v>1544</v>
      </c>
      <c r="F863" s="46" t="s">
        <v>20</v>
      </c>
      <c r="G863" s="62">
        <v>30390</v>
      </c>
      <c r="H863" s="73" t="s">
        <v>1524</v>
      </c>
      <c r="I863" s="63" t="s">
        <v>22</v>
      </c>
      <c r="J863" s="26" t="s">
        <v>62</v>
      </c>
      <c r="K863" s="100">
        <v>39467</v>
      </c>
      <c r="L863" s="100">
        <v>44743</v>
      </c>
      <c r="M863" s="98">
        <v>45108</v>
      </c>
      <c r="N863" s="98" t="s">
        <v>551</v>
      </c>
    </row>
    <row r="864" spans="1:14" ht="24.95" customHeight="1">
      <c r="A864" s="189">
        <v>9</v>
      </c>
      <c r="B864" s="76" t="s">
        <v>360</v>
      </c>
      <c r="C864" s="27" t="s">
        <v>279</v>
      </c>
      <c r="D864" s="76" t="s">
        <v>1727</v>
      </c>
      <c r="E864" s="26" t="s">
        <v>1728</v>
      </c>
      <c r="F864" s="46" t="s">
        <v>1729</v>
      </c>
      <c r="G864" s="48">
        <v>34788</v>
      </c>
      <c r="H864" s="73" t="s">
        <v>1524</v>
      </c>
      <c r="I864" s="63" t="s">
        <v>22</v>
      </c>
      <c r="J864" s="26" t="s">
        <v>70</v>
      </c>
      <c r="K864" s="64">
        <v>45747</v>
      </c>
      <c r="L864" s="64">
        <v>45747</v>
      </c>
      <c r="M864" s="98">
        <v>45751</v>
      </c>
      <c r="N864" s="98">
        <v>45016</v>
      </c>
    </row>
    <row r="865" spans="1:14" ht="24.95" customHeight="1">
      <c r="A865" s="76">
        <v>10</v>
      </c>
      <c r="B865" s="76" t="s">
        <v>627</v>
      </c>
      <c r="C865" s="27" t="s">
        <v>287</v>
      </c>
      <c r="D865" s="24" t="s">
        <v>1547</v>
      </c>
      <c r="E865" s="26" t="s">
        <v>1548</v>
      </c>
      <c r="F865" s="46" t="s">
        <v>20</v>
      </c>
      <c r="G865" s="48">
        <v>31025</v>
      </c>
      <c r="H865" s="73" t="s">
        <v>1524</v>
      </c>
      <c r="I865" s="63" t="s">
        <v>22</v>
      </c>
      <c r="J865" s="26" t="s">
        <v>70</v>
      </c>
      <c r="K865" s="64">
        <v>41319</v>
      </c>
      <c r="L865" s="64">
        <v>41319</v>
      </c>
      <c r="M865" s="98">
        <v>44933</v>
      </c>
      <c r="N865" s="98" t="s">
        <v>551</v>
      </c>
    </row>
    <row r="866" spans="1:14" ht="24.95" customHeight="1">
      <c r="A866" s="76">
        <v>12</v>
      </c>
      <c r="B866" s="76" t="s">
        <v>627</v>
      </c>
      <c r="C866" s="27" t="s">
        <v>287</v>
      </c>
      <c r="D866" s="24" t="s">
        <v>1549</v>
      </c>
      <c r="E866" s="26" t="s">
        <v>1550</v>
      </c>
      <c r="F866" s="46" t="s">
        <v>20</v>
      </c>
      <c r="G866" s="48">
        <v>31362</v>
      </c>
      <c r="H866" s="73" t="s">
        <v>1524</v>
      </c>
      <c r="I866" s="63" t="s">
        <v>22</v>
      </c>
      <c r="J866" s="26" t="s">
        <v>70</v>
      </c>
      <c r="K866" s="64">
        <v>41319</v>
      </c>
      <c r="L866" s="64">
        <v>41319</v>
      </c>
      <c r="M866" s="98">
        <v>44933</v>
      </c>
      <c r="N866" s="98" t="s">
        <v>551</v>
      </c>
    </row>
    <row r="867" spans="1:14" ht="24.95" customHeight="1">
      <c r="B867" s="76" t="s">
        <v>627</v>
      </c>
      <c r="C867" s="27" t="s">
        <v>287</v>
      </c>
      <c r="D867" s="24" t="s">
        <v>1551</v>
      </c>
      <c r="E867" s="26" t="s">
        <v>1552</v>
      </c>
      <c r="F867" s="46" t="s">
        <v>20</v>
      </c>
      <c r="G867" s="48">
        <v>29245</v>
      </c>
      <c r="H867" s="73" t="s">
        <v>1524</v>
      </c>
      <c r="I867" s="63" t="s">
        <v>22</v>
      </c>
      <c r="J867" s="26" t="s">
        <v>70</v>
      </c>
      <c r="K867" s="64">
        <v>41378</v>
      </c>
      <c r="L867" s="64">
        <v>41378</v>
      </c>
      <c r="M867" s="98">
        <v>44933</v>
      </c>
      <c r="N867" s="98" t="s">
        <v>551</v>
      </c>
    </row>
    <row r="868" spans="1:14" ht="24.95" customHeight="1">
      <c r="B868" s="76" t="s">
        <v>627</v>
      </c>
      <c r="C868" s="27" t="s">
        <v>287</v>
      </c>
      <c r="D868" s="24" t="s">
        <v>1553</v>
      </c>
      <c r="E868" s="26" t="s">
        <v>1554</v>
      </c>
      <c r="F868" s="46" t="s">
        <v>20</v>
      </c>
      <c r="G868" s="48">
        <v>30965</v>
      </c>
      <c r="H868" s="73" t="s">
        <v>1524</v>
      </c>
      <c r="I868" s="63" t="s">
        <v>22</v>
      </c>
      <c r="J868" s="26" t="s">
        <v>70</v>
      </c>
      <c r="K868" s="64">
        <v>42247</v>
      </c>
      <c r="L868" s="64">
        <v>42247</v>
      </c>
      <c r="M868" s="98">
        <v>45839</v>
      </c>
      <c r="N868" s="98">
        <v>47664</v>
      </c>
    </row>
    <row r="869" spans="1:14" ht="24.95" customHeight="1">
      <c r="A869" s="76">
        <v>13</v>
      </c>
      <c r="B869" s="76" t="s">
        <v>627</v>
      </c>
      <c r="C869" s="27" t="s">
        <v>287</v>
      </c>
      <c r="D869" s="84" t="s">
        <v>1555</v>
      </c>
      <c r="E869" s="26" t="s">
        <v>1556</v>
      </c>
      <c r="F869" s="46" t="s">
        <v>20</v>
      </c>
      <c r="G869" s="48">
        <v>31762</v>
      </c>
      <c r="H869" s="73" t="s">
        <v>1524</v>
      </c>
      <c r="I869" s="63" t="s">
        <v>22</v>
      </c>
      <c r="J869" s="26" t="s">
        <v>70</v>
      </c>
      <c r="K869" s="64">
        <v>42740</v>
      </c>
      <c r="L869" s="64">
        <v>42740</v>
      </c>
      <c r="M869" s="98">
        <v>44933</v>
      </c>
      <c r="N869" s="98" t="s">
        <v>551</v>
      </c>
    </row>
    <row r="870" spans="1:14" ht="24.95" customHeight="1">
      <c r="A870" s="76">
        <v>15</v>
      </c>
      <c r="B870" s="76" t="s">
        <v>627</v>
      </c>
      <c r="C870" s="27" t="s">
        <v>287</v>
      </c>
      <c r="D870" s="24" t="s">
        <v>1557</v>
      </c>
      <c r="E870" s="26" t="s">
        <v>1558</v>
      </c>
      <c r="F870" s="46" t="s">
        <v>20</v>
      </c>
      <c r="G870" s="48">
        <v>31077</v>
      </c>
      <c r="H870" s="73" t="s">
        <v>1524</v>
      </c>
      <c r="I870" s="63" t="s">
        <v>22</v>
      </c>
      <c r="J870" s="26" t="s">
        <v>70</v>
      </c>
      <c r="K870" s="64">
        <v>42741</v>
      </c>
      <c r="L870" s="64">
        <v>42741</v>
      </c>
      <c r="M870" s="98">
        <v>44933</v>
      </c>
      <c r="N870" s="98" t="s">
        <v>551</v>
      </c>
    </row>
    <row r="871" spans="1:14" ht="24.95" customHeight="1">
      <c r="B871" s="76" t="s">
        <v>627</v>
      </c>
      <c r="C871" s="27" t="s">
        <v>287</v>
      </c>
      <c r="D871" s="24" t="s">
        <v>1559</v>
      </c>
      <c r="E871" s="46" t="s">
        <v>1560</v>
      </c>
      <c r="F871" s="46" t="s">
        <v>20</v>
      </c>
      <c r="G871" s="235">
        <v>34075</v>
      </c>
      <c r="H871" s="112" t="s">
        <v>1524</v>
      </c>
      <c r="I871" s="63" t="s">
        <v>22</v>
      </c>
      <c r="J871" s="26" t="s">
        <v>70</v>
      </c>
      <c r="K871" s="100">
        <v>44229</v>
      </c>
      <c r="L871" s="100">
        <v>44229</v>
      </c>
      <c r="M871" s="98">
        <v>44197</v>
      </c>
      <c r="N871" s="98">
        <v>46203</v>
      </c>
    </row>
    <row r="872" spans="1:14" ht="24.95" customHeight="1">
      <c r="B872" s="76" t="s">
        <v>627</v>
      </c>
      <c r="C872" s="27" t="s">
        <v>287</v>
      </c>
      <c r="D872" s="76" t="s">
        <v>1561</v>
      </c>
      <c r="E872" s="47" t="s">
        <v>1562</v>
      </c>
      <c r="F872" s="46" t="s">
        <v>20</v>
      </c>
      <c r="G872" s="235">
        <v>34219</v>
      </c>
      <c r="H872" s="112" t="s">
        <v>1524</v>
      </c>
      <c r="I872" s="63" t="s">
        <v>22</v>
      </c>
      <c r="J872" s="26" t="s">
        <v>70</v>
      </c>
      <c r="K872" s="100">
        <v>45415</v>
      </c>
      <c r="L872" s="100">
        <v>45415</v>
      </c>
      <c r="M872" s="100">
        <v>45415</v>
      </c>
      <c r="N872" s="100">
        <v>47240</v>
      </c>
    </row>
    <row r="873" spans="1:14" s="3" customFormat="1" ht="24.95" customHeight="1">
      <c r="A873" s="76"/>
      <c r="B873" s="77" t="s">
        <v>1196</v>
      </c>
      <c r="C873" s="27"/>
      <c r="D873" s="189"/>
      <c r="E873" s="47"/>
      <c r="F873" s="47"/>
      <c r="G873" s="47"/>
      <c r="H873" s="215"/>
      <c r="I873" s="35"/>
      <c r="J873" s="35"/>
      <c r="K873" s="100"/>
      <c r="L873" s="100"/>
      <c r="M873" s="62"/>
      <c r="N873" s="62"/>
    </row>
    <row r="874" spans="1:14" ht="24.95" customHeight="1">
      <c r="A874" s="76">
        <v>3</v>
      </c>
      <c r="B874" s="252" t="s">
        <v>1197</v>
      </c>
      <c r="C874" s="198"/>
      <c r="D874" s="122"/>
      <c r="E874" s="126"/>
      <c r="F874" s="126"/>
      <c r="G874" s="133"/>
      <c r="H874" s="137"/>
      <c r="I874" s="126"/>
      <c r="J874" s="126"/>
      <c r="K874" s="138"/>
      <c r="L874" s="138"/>
      <c r="M874" s="139"/>
      <c r="N874" s="139"/>
    </row>
    <row r="875" spans="1:14" ht="24.95" customHeight="1">
      <c r="B875" s="76" t="s">
        <v>650</v>
      </c>
      <c r="C875" s="27" t="s">
        <v>1563</v>
      </c>
      <c r="D875" s="24" t="s">
        <v>1564</v>
      </c>
      <c r="E875" s="26" t="s">
        <v>1565</v>
      </c>
      <c r="F875" s="46" t="s">
        <v>821</v>
      </c>
      <c r="G875" s="48">
        <v>26299</v>
      </c>
      <c r="H875" s="112" t="s">
        <v>1524</v>
      </c>
      <c r="I875" s="63" t="s">
        <v>22</v>
      </c>
      <c r="J875" s="26" t="s">
        <v>62</v>
      </c>
      <c r="K875" s="64">
        <v>40507</v>
      </c>
      <c r="L875" s="64">
        <v>44743</v>
      </c>
      <c r="M875" s="62">
        <v>45646</v>
      </c>
      <c r="N875" s="62">
        <v>47483</v>
      </c>
    </row>
    <row r="876" spans="1:14" ht="24.95" customHeight="1">
      <c r="A876" s="76">
        <v>4</v>
      </c>
      <c r="B876" s="76" t="s">
        <v>1566</v>
      </c>
      <c r="C876" s="27" t="s">
        <v>39</v>
      </c>
      <c r="D876" s="24" t="s">
        <v>1567</v>
      </c>
      <c r="E876" s="107" t="s">
        <v>1568</v>
      </c>
      <c r="F876" s="46" t="s">
        <v>20</v>
      </c>
      <c r="G876" s="48">
        <v>29998</v>
      </c>
      <c r="H876" s="73" t="s">
        <v>1524</v>
      </c>
      <c r="I876" s="63" t="s">
        <v>22</v>
      </c>
      <c r="J876" s="26" t="s">
        <v>30</v>
      </c>
      <c r="K876" s="64">
        <v>42712</v>
      </c>
      <c r="L876" s="64">
        <v>42712</v>
      </c>
      <c r="M876" s="98">
        <v>45108</v>
      </c>
      <c r="N876" s="98" t="s">
        <v>551</v>
      </c>
    </row>
    <row r="877" spans="1:14" ht="24.95" customHeight="1">
      <c r="A877" s="76">
        <v>4</v>
      </c>
      <c r="B877" s="76" t="s">
        <v>173</v>
      </c>
      <c r="C877" s="27" t="s">
        <v>67</v>
      </c>
      <c r="D877" s="84" t="s">
        <v>1569</v>
      </c>
      <c r="E877" s="46" t="s">
        <v>1570</v>
      </c>
      <c r="F877" s="46" t="s">
        <v>20</v>
      </c>
      <c r="G877" s="48">
        <v>32647</v>
      </c>
      <c r="H877" s="73" t="s">
        <v>1524</v>
      </c>
      <c r="I877" s="63" t="s">
        <v>22</v>
      </c>
      <c r="J877" s="26" t="s">
        <v>30</v>
      </c>
      <c r="K877" s="64">
        <v>43739</v>
      </c>
      <c r="L877" s="64">
        <v>43739</v>
      </c>
      <c r="M877" s="98">
        <v>45839</v>
      </c>
      <c r="N877" s="98">
        <v>47664</v>
      </c>
    </row>
    <row r="878" spans="1:14" ht="24.95" customHeight="1">
      <c r="B878" s="76" t="s">
        <v>1199</v>
      </c>
      <c r="C878" s="27" t="s">
        <v>39</v>
      </c>
      <c r="D878" s="24" t="s">
        <v>1571</v>
      </c>
      <c r="E878" s="26" t="s">
        <v>1572</v>
      </c>
      <c r="F878" s="46" t="s">
        <v>20</v>
      </c>
      <c r="G878" s="48">
        <v>24803</v>
      </c>
      <c r="H878" s="73" t="s">
        <v>1524</v>
      </c>
      <c r="I878" s="63" t="s">
        <v>22</v>
      </c>
      <c r="J878" s="26" t="s">
        <v>30</v>
      </c>
      <c r="K878" s="64">
        <v>41319</v>
      </c>
      <c r="L878" s="64">
        <v>41319</v>
      </c>
      <c r="M878" s="98">
        <v>44933</v>
      </c>
      <c r="N878" s="98" t="s">
        <v>1573</v>
      </c>
    </row>
    <row r="879" spans="1:14" ht="24.95" customHeight="1">
      <c r="B879" s="76" t="s">
        <v>212</v>
      </c>
      <c r="C879" s="27" t="s">
        <v>39</v>
      </c>
      <c r="D879" s="24" t="s">
        <v>1574</v>
      </c>
      <c r="E879" s="107" t="s">
        <v>1575</v>
      </c>
      <c r="F879" s="46" t="s">
        <v>20</v>
      </c>
      <c r="G879" s="48">
        <v>25289</v>
      </c>
      <c r="H879" s="73" t="s">
        <v>1524</v>
      </c>
      <c r="I879" s="63" t="s">
        <v>22</v>
      </c>
      <c r="J879" s="26" t="s">
        <v>30</v>
      </c>
      <c r="K879" s="64">
        <v>35690</v>
      </c>
      <c r="L879" s="64">
        <v>39264</v>
      </c>
      <c r="M879" s="98">
        <v>44933</v>
      </c>
      <c r="N879" s="98" t="s">
        <v>551</v>
      </c>
    </row>
    <row r="880" spans="1:14" ht="24.95" customHeight="1">
      <c r="B880" s="76" t="s">
        <v>540</v>
      </c>
      <c r="C880" s="27" t="s">
        <v>39</v>
      </c>
      <c r="D880" s="24" t="s">
        <v>1751</v>
      </c>
      <c r="E880" s="26" t="s">
        <v>1749</v>
      </c>
      <c r="F880" s="46" t="s">
        <v>20</v>
      </c>
      <c r="G880" s="48">
        <v>32725</v>
      </c>
      <c r="H880" s="73" t="s">
        <v>1524</v>
      </c>
      <c r="I880" s="63" t="s">
        <v>22</v>
      </c>
      <c r="J880" s="26" t="s">
        <v>30</v>
      </c>
      <c r="K880" s="64">
        <v>45807</v>
      </c>
      <c r="L880" s="64">
        <v>45807</v>
      </c>
      <c r="M880" s="98">
        <v>45809</v>
      </c>
      <c r="N880" s="98">
        <v>47633</v>
      </c>
    </row>
    <row r="881" spans="1:14" ht="24.95" customHeight="1">
      <c r="B881" s="76" t="s">
        <v>1576</v>
      </c>
      <c r="C881" s="27" t="s">
        <v>39</v>
      </c>
      <c r="D881" s="24" t="s">
        <v>1577</v>
      </c>
      <c r="E881" s="107" t="s">
        <v>1578</v>
      </c>
      <c r="F881" s="46" t="s">
        <v>29</v>
      </c>
      <c r="G881" s="48">
        <v>28000</v>
      </c>
      <c r="H881" s="73" t="s">
        <v>1524</v>
      </c>
      <c r="I881" s="63" t="s">
        <v>22</v>
      </c>
      <c r="J881" s="26" t="s">
        <v>30</v>
      </c>
      <c r="K881" s="64">
        <v>38825</v>
      </c>
      <c r="L881" s="64">
        <v>43132</v>
      </c>
      <c r="M881" s="62">
        <v>45108</v>
      </c>
      <c r="N881" s="62" t="s">
        <v>927</v>
      </c>
    </row>
    <row r="882" spans="1:14" ht="24.95" customHeight="1">
      <c r="B882" s="76" t="s">
        <v>40</v>
      </c>
      <c r="C882" s="27" t="s">
        <v>41</v>
      </c>
      <c r="D882" s="24" t="s">
        <v>1698</v>
      </c>
      <c r="E882" s="262" t="s">
        <v>1699</v>
      </c>
      <c r="F882" s="46" t="s">
        <v>29</v>
      </c>
      <c r="G882" s="48">
        <v>31833</v>
      </c>
      <c r="H882" s="73" t="s">
        <v>1524</v>
      </c>
      <c r="I882" s="63" t="s">
        <v>22</v>
      </c>
      <c r="J882" s="26" t="s">
        <v>30</v>
      </c>
      <c r="K882" s="64">
        <v>40918</v>
      </c>
      <c r="L882" s="64" t="s">
        <v>1700</v>
      </c>
      <c r="M882" s="65">
        <v>45839</v>
      </c>
      <c r="N882" s="65">
        <v>47664</v>
      </c>
    </row>
    <row r="883" spans="1:14" ht="24.95" customHeight="1">
      <c r="B883" s="76" t="s">
        <v>226</v>
      </c>
      <c r="C883" s="27" t="s">
        <v>85</v>
      </c>
      <c r="D883" s="24" t="s">
        <v>1579</v>
      </c>
      <c r="E883" s="262" t="s">
        <v>1580</v>
      </c>
      <c r="F883" s="46" t="s">
        <v>20</v>
      </c>
      <c r="G883" s="48">
        <v>33788</v>
      </c>
      <c r="H883" s="73" t="s">
        <v>1524</v>
      </c>
      <c r="I883" s="63" t="s">
        <v>22</v>
      </c>
      <c r="J883" s="26" t="s">
        <v>30</v>
      </c>
      <c r="K883" s="64">
        <v>43599</v>
      </c>
      <c r="L883" s="64">
        <v>43599</v>
      </c>
      <c r="M883" s="214">
        <v>45474</v>
      </c>
      <c r="N883" s="98">
        <v>47299</v>
      </c>
    </row>
    <row r="884" spans="1:14" ht="24.95" customHeight="1">
      <c r="A884" s="76">
        <v>6</v>
      </c>
      <c r="B884" s="85" t="s">
        <v>393</v>
      </c>
      <c r="C884" s="27" t="s">
        <v>85</v>
      </c>
      <c r="D884" s="84" t="s">
        <v>1581</v>
      </c>
      <c r="E884" s="26" t="s">
        <v>1582</v>
      </c>
      <c r="F884" s="46" t="s">
        <v>29</v>
      </c>
      <c r="G884" s="48">
        <v>27653</v>
      </c>
      <c r="H884" s="73" t="s">
        <v>1524</v>
      </c>
      <c r="I884" s="63" t="s">
        <v>22</v>
      </c>
      <c r="J884" s="26" t="s">
        <v>30</v>
      </c>
      <c r="K884" s="64">
        <v>40759</v>
      </c>
      <c r="L884" s="64">
        <v>40759</v>
      </c>
      <c r="M884" s="98">
        <v>44933</v>
      </c>
      <c r="N884" s="98" t="s">
        <v>551</v>
      </c>
    </row>
    <row r="885" spans="1:14" ht="24.95" customHeight="1">
      <c r="A885" s="76">
        <v>8</v>
      </c>
      <c r="B885" s="76" t="s">
        <v>44</v>
      </c>
      <c r="C885" s="27" t="s">
        <v>45</v>
      </c>
      <c r="D885" s="84" t="s">
        <v>1583</v>
      </c>
      <c r="E885" s="107" t="s">
        <v>1584</v>
      </c>
      <c r="F885" s="46" t="s">
        <v>20</v>
      </c>
      <c r="G885" s="48">
        <v>27143</v>
      </c>
      <c r="H885" s="73" t="s">
        <v>1524</v>
      </c>
      <c r="I885" s="63" t="s">
        <v>22</v>
      </c>
      <c r="J885" s="26" t="s">
        <v>50</v>
      </c>
      <c r="K885" s="64">
        <v>38660</v>
      </c>
      <c r="L885" s="64">
        <v>38660</v>
      </c>
      <c r="M885" s="98">
        <v>44933</v>
      </c>
      <c r="N885" s="98" t="s">
        <v>551</v>
      </c>
    </row>
    <row r="886" spans="1:14" ht="24.95" customHeight="1">
      <c r="A886" s="76">
        <v>9</v>
      </c>
      <c r="B886" s="76" t="s">
        <v>44</v>
      </c>
      <c r="C886" s="27" t="s">
        <v>45</v>
      </c>
      <c r="D886" s="24" t="s">
        <v>1585</v>
      </c>
      <c r="E886" s="26" t="s">
        <v>91</v>
      </c>
      <c r="F886" s="46" t="s">
        <v>20</v>
      </c>
      <c r="G886" s="48">
        <v>29306</v>
      </c>
      <c r="H886" s="73" t="s">
        <v>1524</v>
      </c>
      <c r="I886" s="63" t="s">
        <v>22</v>
      </c>
      <c r="J886" s="26" t="s">
        <v>50</v>
      </c>
      <c r="K886" s="64">
        <v>42373</v>
      </c>
      <c r="L886" s="64">
        <v>42373</v>
      </c>
      <c r="M886" s="98">
        <v>45839</v>
      </c>
      <c r="N886" s="98">
        <v>47664</v>
      </c>
    </row>
    <row r="887" spans="1:14" ht="24.95" customHeight="1">
      <c r="B887" s="76" t="s">
        <v>44</v>
      </c>
      <c r="C887" s="27" t="s">
        <v>45</v>
      </c>
      <c r="D887" s="84" t="s">
        <v>1586</v>
      </c>
      <c r="E887" s="96" t="s">
        <v>1587</v>
      </c>
      <c r="F887" s="46" t="s">
        <v>20</v>
      </c>
      <c r="G887" s="48">
        <v>28691</v>
      </c>
      <c r="H887" s="73" t="s">
        <v>1524</v>
      </c>
      <c r="I887" s="63" t="s">
        <v>22</v>
      </c>
      <c r="J887" s="26" t="s">
        <v>50</v>
      </c>
      <c r="K887" s="64">
        <v>38531</v>
      </c>
      <c r="L887" s="64">
        <v>38531</v>
      </c>
      <c r="M887" s="62">
        <v>45108</v>
      </c>
      <c r="N887" s="98">
        <v>46934</v>
      </c>
    </row>
    <row r="888" spans="1:14" ht="24.95" customHeight="1">
      <c r="B888" s="31" t="s">
        <v>1220</v>
      </c>
      <c r="C888" s="3"/>
      <c r="D888" s="3"/>
      <c r="E888" s="26"/>
      <c r="F888" s="46"/>
      <c r="G888" s="48"/>
      <c r="H888" s="73"/>
      <c r="I888" s="63"/>
      <c r="J888" s="26"/>
      <c r="K888" s="64"/>
      <c r="L888" s="64"/>
      <c r="M888" s="98"/>
      <c r="N888" s="98"/>
    </row>
    <row r="889" spans="1:14" ht="24.95" customHeight="1">
      <c r="B889" s="252" t="s">
        <v>1774</v>
      </c>
      <c r="C889" s="76"/>
      <c r="D889" s="35"/>
      <c r="E889" s="35"/>
      <c r="F889" s="35"/>
      <c r="G889" s="47"/>
      <c r="H889" s="215"/>
      <c r="I889" s="35"/>
      <c r="J889" s="35"/>
      <c r="K889" s="100"/>
      <c r="L889" s="100"/>
      <c r="M889" s="62"/>
      <c r="N889" s="62"/>
    </row>
    <row r="890" spans="1:14" ht="24.95" customHeight="1">
      <c r="B890" s="302"/>
      <c r="C890" s="76"/>
      <c r="D890" s="35"/>
      <c r="E890" s="35"/>
      <c r="F890" s="35"/>
      <c r="G890" s="47"/>
      <c r="H890" s="215"/>
      <c r="I890" s="35"/>
      <c r="J890" s="35"/>
      <c r="K890" s="100"/>
      <c r="L890" s="100"/>
      <c r="M890" s="62"/>
      <c r="N890" s="62"/>
    </row>
    <row r="891" spans="1:14" s="3" customFormat="1" ht="24.95" customHeight="1">
      <c r="A891" s="76"/>
      <c r="B891" s="137" t="s">
        <v>1588</v>
      </c>
      <c r="C891" s="125"/>
      <c r="D891" s="122" t="s">
        <v>52</v>
      </c>
      <c r="E891" s="126"/>
      <c r="F891" s="126"/>
      <c r="G891" s="133"/>
      <c r="H891" s="126"/>
      <c r="I891" s="126"/>
      <c r="J891" s="126"/>
      <c r="K891" s="138"/>
      <c r="L891" s="138"/>
      <c r="M891" s="139"/>
      <c r="N891" s="139"/>
    </row>
    <row r="892" spans="1:14" s="3" customFormat="1" ht="24.95" customHeight="1">
      <c r="A892" s="76"/>
      <c r="B892" s="86" t="s">
        <v>320</v>
      </c>
      <c r="C892" s="27" t="s">
        <v>129</v>
      </c>
      <c r="D892" s="24" t="s">
        <v>1965</v>
      </c>
      <c r="E892" s="26" t="s">
        <v>1589</v>
      </c>
      <c r="F892" s="46" t="s">
        <v>20</v>
      </c>
      <c r="G892" s="48">
        <v>28663</v>
      </c>
      <c r="H892" s="73" t="s">
        <v>1590</v>
      </c>
      <c r="I892" s="63" t="s">
        <v>22</v>
      </c>
      <c r="J892" s="26" t="s">
        <v>62</v>
      </c>
      <c r="K892" s="64">
        <v>39566</v>
      </c>
      <c r="L892" s="64">
        <v>43770</v>
      </c>
      <c r="M892" s="98">
        <v>46934</v>
      </c>
      <c r="N892" s="98">
        <v>46934</v>
      </c>
    </row>
    <row r="893" spans="1:14" s="3" customFormat="1" ht="24.95" customHeight="1">
      <c r="A893" s="76"/>
      <c r="B893" s="86" t="s">
        <v>320</v>
      </c>
      <c r="C893" s="27" t="s">
        <v>129</v>
      </c>
      <c r="D893" s="24" t="s">
        <v>1966</v>
      </c>
      <c r="E893" s="26" t="s">
        <v>1591</v>
      </c>
      <c r="F893" s="46" t="s">
        <v>29</v>
      </c>
      <c r="G893" s="48">
        <v>27954</v>
      </c>
      <c r="H893" s="73" t="s">
        <v>1590</v>
      </c>
      <c r="I893" s="63" t="s">
        <v>22</v>
      </c>
      <c r="J893" s="26" t="s">
        <v>62</v>
      </c>
      <c r="K893" s="64">
        <v>37741</v>
      </c>
      <c r="L893" s="64">
        <v>41091</v>
      </c>
      <c r="M893" s="98">
        <v>45108</v>
      </c>
      <c r="N893" s="98">
        <v>46934</v>
      </c>
    </row>
    <row r="894" spans="1:14" s="3" customFormat="1" ht="24.95" customHeight="1">
      <c r="A894" s="76"/>
      <c r="B894" s="258" t="s">
        <v>524</v>
      </c>
      <c r="C894" s="27" t="str">
        <f>$C$932</f>
        <v>UR 5(i)RS</v>
      </c>
      <c r="D894" s="24" t="s">
        <v>1594</v>
      </c>
      <c r="E894" s="26" t="s">
        <v>1595</v>
      </c>
      <c r="F894" s="46" t="s">
        <v>20</v>
      </c>
      <c r="G894" s="48">
        <v>26613</v>
      </c>
      <c r="H894" s="73" t="s">
        <v>1590</v>
      </c>
      <c r="I894" s="63" t="s">
        <v>22</v>
      </c>
      <c r="J894" s="26" t="s">
        <v>62</v>
      </c>
      <c r="K894" s="64">
        <v>41317</v>
      </c>
      <c r="L894" s="64">
        <v>41317</v>
      </c>
      <c r="M894" s="98">
        <v>45108</v>
      </c>
      <c r="N894" s="62" t="s">
        <v>927</v>
      </c>
    </row>
    <row r="895" spans="1:14" s="3" customFormat="1" ht="24.95" customHeight="1">
      <c r="A895" s="76"/>
      <c r="B895" s="258" t="s">
        <v>524</v>
      </c>
      <c r="C895" s="27" t="str">
        <f>$C$932</f>
        <v>UR 5(i)RS</v>
      </c>
      <c r="D895" s="24" t="s">
        <v>1596</v>
      </c>
      <c r="E895" s="26" t="s">
        <v>1597</v>
      </c>
      <c r="F895" s="46" t="s">
        <v>20</v>
      </c>
      <c r="G895" s="48">
        <v>30689</v>
      </c>
      <c r="H895" s="73" t="s">
        <v>1590</v>
      </c>
      <c r="I895" s="63" t="s">
        <v>22</v>
      </c>
      <c r="J895" s="26" t="s">
        <v>62</v>
      </c>
      <c r="K895" s="64">
        <v>41295</v>
      </c>
      <c r="L895" s="64">
        <v>42795</v>
      </c>
      <c r="M895" s="98">
        <v>45108</v>
      </c>
      <c r="N895" s="98">
        <v>46934</v>
      </c>
    </row>
    <row r="896" spans="1:14" s="3" customFormat="1" ht="24.95" customHeight="1">
      <c r="A896" s="83">
        <v>1</v>
      </c>
      <c r="B896" s="258" t="s">
        <v>524</v>
      </c>
      <c r="C896" s="27" t="str">
        <f>$C$932</f>
        <v>UR 5(i)RS</v>
      </c>
      <c r="D896" s="24" t="s">
        <v>1598</v>
      </c>
      <c r="E896" s="26" t="s">
        <v>1599</v>
      </c>
      <c r="F896" s="46" t="s">
        <v>20</v>
      </c>
      <c r="G896" s="48">
        <v>29824</v>
      </c>
      <c r="H896" s="73" t="s">
        <v>1590</v>
      </c>
      <c r="I896" s="63" t="s">
        <v>22</v>
      </c>
      <c r="J896" s="26" t="s">
        <v>62</v>
      </c>
      <c r="K896" s="64">
        <v>39566</v>
      </c>
      <c r="L896" s="64">
        <v>43070</v>
      </c>
      <c r="M896" s="98">
        <v>45108</v>
      </c>
      <c r="N896" s="98">
        <v>46934</v>
      </c>
    </row>
    <row r="897" spans="1:14" s="268" customFormat="1" ht="24.95" customHeight="1">
      <c r="A897" s="76">
        <v>2</v>
      </c>
      <c r="B897" s="258" t="s">
        <v>524</v>
      </c>
      <c r="C897" s="27" t="str">
        <f>$C$932</f>
        <v>UR 5(i)RS</v>
      </c>
      <c r="D897" s="308" t="s">
        <v>1602</v>
      </c>
      <c r="E897" s="35" t="s">
        <v>1603</v>
      </c>
      <c r="F897" s="46" t="s">
        <v>20</v>
      </c>
      <c r="G897" s="48">
        <v>34306</v>
      </c>
      <c r="H897" s="73" t="s">
        <v>1590</v>
      </c>
      <c r="I897" s="63" t="s">
        <v>22</v>
      </c>
      <c r="J897" s="26" t="s">
        <v>62</v>
      </c>
      <c r="K897" s="62">
        <v>45572</v>
      </c>
      <c r="L897" s="62">
        <v>45572</v>
      </c>
      <c r="M897" s="62">
        <v>45572</v>
      </c>
      <c r="N897" s="98">
        <v>47397</v>
      </c>
    </row>
    <row r="898" spans="1:14" s="268" customFormat="1" ht="24.95" customHeight="1">
      <c r="A898" s="83">
        <v>3</v>
      </c>
      <c r="B898" s="258" t="s">
        <v>524</v>
      </c>
      <c r="C898" s="27" t="str">
        <f>$C$932</f>
        <v>UR 5(i)RS</v>
      </c>
      <c r="D898" s="308" t="s">
        <v>2035</v>
      </c>
      <c r="E898" s="35"/>
      <c r="F898" s="46"/>
      <c r="G898" s="48"/>
      <c r="H898" s="73"/>
      <c r="I898" s="63"/>
      <c r="J898" s="26"/>
      <c r="K898" s="62"/>
      <c r="L898" s="62"/>
      <c r="M898" s="62"/>
      <c r="N898" s="98"/>
    </row>
    <row r="899" spans="1:14" s="3" customFormat="1" ht="24.95" customHeight="1">
      <c r="A899" s="76">
        <v>4</v>
      </c>
      <c r="B899" s="86" t="s">
        <v>360</v>
      </c>
      <c r="C899" s="27" t="e">
        <f>#REF!</f>
        <v>#REF!</v>
      </c>
      <c r="D899" s="24" t="s">
        <v>1604</v>
      </c>
      <c r="E899" s="107" t="s">
        <v>1605</v>
      </c>
      <c r="F899" s="46" t="s">
        <v>20</v>
      </c>
      <c r="G899" s="48">
        <v>24730</v>
      </c>
      <c r="H899" s="73" t="s">
        <v>1590</v>
      </c>
      <c r="I899" s="63" t="s">
        <v>22</v>
      </c>
      <c r="J899" s="26" t="s">
        <v>70</v>
      </c>
      <c r="K899" s="64">
        <v>40500</v>
      </c>
      <c r="L899" s="64">
        <v>43525</v>
      </c>
      <c r="M899" s="98">
        <v>46568</v>
      </c>
      <c r="N899" s="98">
        <v>46568</v>
      </c>
    </row>
    <row r="900" spans="1:14" s="3" customFormat="1" ht="24.95" customHeight="1">
      <c r="A900" s="83">
        <v>5</v>
      </c>
      <c r="B900" s="86" t="s">
        <v>627</v>
      </c>
      <c r="C900" s="27" t="str">
        <f>$C$942</f>
        <v>UR 6RT</v>
      </c>
      <c r="D900" s="24" t="s">
        <v>1608</v>
      </c>
      <c r="E900" s="26" t="s">
        <v>1609</v>
      </c>
      <c r="F900" s="46" t="s">
        <v>20</v>
      </c>
      <c r="G900" s="48">
        <v>28344</v>
      </c>
      <c r="H900" s="63" t="s">
        <v>1590</v>
      </c>
      <c r="I900" s="63" t="s">
        <v>22</v>
      </c>
      <c r="J900" s="26" t="s">
        <v>70</v>
      </c>
      <c r="K900" s="64">
        <v>39449</v>
      </c>
      <c r="L900" s="64">
        <v>39449</v>
      </c>
      <c r="M900" s="98">
        <v>45839</v>
      </c>
      <c r="N900" s="98">
        <v>47664</v>
      </c>
    </row>
    <row r="901" spans="1:14" s="3" customFormat="1" ht="24.95" customHeight="1">
      <c r="A901" s="76">
        <v>6</v>
      </c>
      <c r="B901" s="86" t="s">
        <v>627</v>
      </c>
      <c r="C901" s="27" t="str">
        <f>$C$942</f>
        <v>UR 6RT</v>
      </c>
      <c r="D901" s="24" t="s">
        <v>1610</v>
      </c>
      <c r="E901" s="49" t="s">
        <v>1611</v>
      </c>
      <c r="F901" s="46" t="s">
        <v>20</v>
      </c>
      <c r="G901" s="48">
        <v>32021</v>
      </c>
      <c r="H901" s="73" t="s">
        <v>1590</v>
      </c>
      <c r="I901" s="63" t="s">
        <v>22</v>
      </c>
      <c r="J901" s="26" t="s">
        <v>70</v>
      </c>
      <c r="K901" s="64">
        <v>42248</v>
      </c>
      <c r="L901" s="64">
        <v>42248</v>
      </c>
      <c r="M901" s="98">
        <v>45474</v>
      </c>
      <c r="N901" s="98">
        <v>47299</v>
      </c>
    </row>
    <row r="902" spans="1:14" s="3" customFormat="1" ht="24.95" customHeight="1">
      <c r="A902" s="83">
        <v>7</v>
      </c>
      <c r="B902" s="86" t="s">
        <v>627</v>
      </c>
      <c r="C902" s="27" t="str">
        <f>$C$942</f>
        <v>UR 6RT</v>
      </c>
      <c r="D902" s="24" t="s">
        <v>1612</v>
      </c>
      <c r="E902" s="26" t="s">
        <v>1613</v>
      </c>
      <c r="F902" s="46" t="s">
        <v>29</v>
      </c>
      <c r="G902" s="48">
        <v>32330</v>
      </c>
      <c r="H902" s="73" t="s">
        <v>1590</v>
      </c>
      <c r="I902" s="63" t="s">
        <v>22</v>
      </c>
      <c r="J902" s="26" t="s">
        <v>70</v>
      </c>
      <c r="K902" s="64">
        <v>42263</v>
      </c>
      <c r="L902" s="64">
        <v>42263</v>
      </c>
      <c r="M902" s="98">
        <v>45474</v>
      </c>
      <c r="N902" s="98">
        <v>47299</v>
      </c>
    </row>
    <row r="903" spans="1:14" s="3" customFormat="1" ht="24.95" customHeight="1">
      <c r="A903" s="76">
        <v>8</v>
      </c>
      <c r="B903" s="86" t="s">
        <v>627</v>
      </c>
      <c r="C903" s="27" t="str">
        <f>$C$942</f>
        <v>UR 6RT</v>
      </c>
      <c r="D903" s="24" t="s">
        <v>1614</v>
      </c>
      <c r="E903" s="26" t="s">
        <v>1615</v>
      </c>
      <c r="F903" s="46" t="s">
        <v>20</v>
      </c>
      <c r="G903" s="48">
        <v>32874</v>
      </c>
      <c r="H903" s="73" t="s">
        <v>1590</v>
      </c>
      <c r="I903" s="63" t="s">
        <v>22</v>
      </c>
      <c r="J903" s="26" t="s">
        <v>70</v>
      </c>
      <c r="K903" s="64">
        <v>42739</v>
      </c>
      <c r="L903" s="64">
        <v>42739</v>
      </c>
      <c r="M903" s="98">
        <v>45108</v>
      </c>
      <c r="N903" s="98">
        <v>46934</v>
      </c>
    </row>
    <row r="904" spans="1:14" s="3" customFormat="1" ht="24.95" customHeight="1">
      <c r="A904" s="76">
        <v>10</v>
      </c>
      <c r="B904" s="86" t="s">
        <v>627</v>
      </c>
      <c r="C904" s="27" t="str">
        <f>$C$942</f>
        <v>UR 6RT</v>
      </c>
      <c r="D904" s="24" t="s">
        <v>1897</v>
      </c>
      <c r="E904" s="466" t="s">
        <v>1898</v>
      </c>
      <c r="F904" s="46" t="s">
        <v>20</v>
      </c>
      <c r="G904" s="48">
        <v>32498</v>
      </c>
      <c r="H904" s="73" t="s">
        <v>1590</v>
      </c>
      <c r="I904" s="63" t="s">
        <v>22</v>
      </c>
      <c r="J904" s="26" t="s">
        <v>70</v>
      </c>
      <c r="K904" s="275">
        <v>46086</v>
      </c>
      <c r="L904" s="275">
        <v>46086</v>
      </c>
      <c r="M904" s="457">
        <v>46121</v>
      </c>
      <c r="N904" s="457">
        <v>47946</v>
      </c>
    </row>
    <row r="905" spans="1:14" s="3" customFormat="1" ht="24.95" customHeight="1">
      <c r="A905" s="83">
        <v>11</v>
      </c>
      <c r="B905" s="77" t="s">
        <v>1196</v>
      </c>
      <c r="C905" s="76"/>
      <c r="D905" s="35"/>
      <c r="E905" s="35"/>
      <c r="F905" s="35"/>
      <c r="G905" s="47"/>
      <c r="H905" s="215"/>
      <c r="I905" s="35"/>
      <c r="J905" s="35"/>
      <c r="K905" s="95"/>
      <c r="L905" s="95"/>
      <c r="M905" s="95"/>
      <c r="N905" s="95"/>
    </row>
    <row r="906" spans="1:14" s="3" customFormat="1" ht="24.95" customHeight="1">
      <c r="A906" s="76">
        <v>12</v>
      </c>
      <c r="B906" s="252" t="s">
        <v>1197</v>
      </c>
      <c r="C906" s="27"/>
      <c r="D906" s="24"/>
      <c r="E906" s="26"/>
      <c r="F906" s="46"/>
      <c r="G906" s="48"/>
      <c r="H906" s="73"/>
      <c r="I906" s="63"/>
      <c r="J906" s="26"/>
      <c r="K906" s="64"/>
      <c r="L906" s="64"/>
      <c r="M906" s="98"/>
      <c r="N906" s="98"/>
    </row>
    <row r="907" spans="1:14" s="3" customFormat="1" ht="24.95" customHeight="1">
      <c r="A907" s="76"/>
      <c r="B907" s="86" t="s">
        <v>650</v>
      </c>
      <c r="C907" s="27" t="s">
        <v>55</v>
      </c>
      <c r="D907" s="24" t="s">
        <v>1616</v>
      </c>
      <c r="E907" s="26" t="s">
        <v>1948</v>
      </c>
      <c r="F907" s="46" t="s">
        <v>20</v>
      </c>
      <c r="G907" s="259">
        <v>26455</v>
      </c>
      <c r="H907" s="73" t="s">
        <v>1590</v>
      </c>
      <c r="I907" s="63" t="s">
        <v>22</v>
      </c>
      <c r="J907" s="35" t="s">
        <v>23</v>
      </c>
      <c r="K907" s="64">
        <v>40078</v>
      </c>
      <c r="L907" s="100">
        <v>45490</v>
      </c>
      <c r="M907" s="98">
        <v>45505</v>
      </c>
      <c r="N907" s="98">
        <v>47330</v>
      </c>
    </row>
    <row r="908" spans="1:14" s="3" customFormat="1" ht="24.95" customHeight="1">
      <c r="A908" s="76"/>
      <c r="B908" s="86" t="s">
        <v>662</v>
      </c>
      <c r="C908" s="27" t="s">
        <v>39</v>
      </c>
      <c r="D908" s="24" t="s">
        <v>1617</v>
      </c>
      <c r="E908" s="26" t="s">
        <v>1618</v>
      </c>
      <c r="F908" s="46" t="s">
        <v>20</v>
      </c>
      <c r="G908" s="48">
        <v>24731</v>
      </c>
      <c r="H908" s="73" t="s">
        <v>1590</v>
      </c>
      <c r="I908" s="63" t="s">
        <v>22</v>
      </c>
      <c r="J908" s="26" t="s">
        <v>30</v>
      </c>
      <c r="K908" s="64">
        <v>42491</v>
      </c>
      <c r="L908" s="64">
        <v>42491</v>
      </c>
      <c r="M908" s="98">
        <v>45839</v>
      </c>
      <c r="N908" s="98">
        <v>46203</v>
      </c>
    </row>
    <row r="909" spans="1:14" s="3" customFormat="1" ht="24.95" customHeight="1">
      <c r="A909" s="76"/>
      <c r="B909" s="86" t="s">
        <v>212</v>
      </c>
      <c r="C909" s="27" t="s">
        <v>39</v>
      </c>
      <c r="D909" s="24" t="s">
        <v>1619</v>
      </c>
      <c r="E909" s="24" t="s">
        <v>1620</v>
      </c>
      <c r="F909" s="46" t="s">
        <v>20</v>
      </c>
      <c r="G909" s="43">
        <v>26769</v>
      </c>
      <c r="H909" s="73" t="s">
        <v>1590</v>
      </c>
      <c r="I909" s="63" t="s">
        <v>22</v>
      </c>
      <c r="J909" s="26" t="s">
        <v>30</v>
      </c>
      <c r="K909" s="144">
        <v>42352</v>
      </c>
      <c r="L909" s="144">
        <v>45392</v>
      </c>
      <c r="M909" s="98">
        <v>45839</v>
      </c>
      <c r="N909" s="98">
        <v>47664</v>
      </c>
    </row>
    <row r="910" spans="1:14" s="3" customFormat="1" ht="24.95" customHeight="1">
      <c r="A910" s="76"/>
      <c r="B910" s="86" t="s">
        <v>540</v>
      </c>
      <c r="C910" s="27" t="s">
        <v>39</v>
      </c>
      <c r="D910" s="84" t="s">
        <v>1324</v>
      </c>
      <c r="E910" s="49" t="s">
        <v>1325</v>
      </c>
      <c r="F910" s="46" t="s">
        <v>20</v>
      </c>
      <c r="G910" s="48">
        <v>25499</v>
      </c>
      <c r="H910" s="73" t="s">
        <v>1590</v>
      </c>
      <c r="I910" s="63" t="s">
        <v>22</v>
      </c>
      <c r="J910" s="26" t="s">
        <v>30</v>
      </c>
      <c r="K910" s="64">
        <v>40077</v>
      </c>
      <c r="L910" s="64">
        <v>45278</v>
      </c>
      <c r="M910" s="65">
        <v>45108</v>
      </c>
      <c r="N910" s="62">
        <v>46934</v>
      </c>
    </row>
    <row r="911" spans="1:14" s="3" customFormat="1" ht="24.95" customHeight="1">
      <c r="A911" s="76"/>
      <c r="B911" s="86" t="s">
        <v>83</v>
      </c>
      <c r="C911" s="27" t="s">
        <v>39</v>
      </c>
      <c r="D911" s="24" t="s">
        <v>1623</v>
      </c>
      <c r="E911" s="107" t="s">
        <v>1624</v>
      </c>
      <c r="F911" s="46" t="s">
        <v>20</v>
      </c>
      <c r="G911" s="48">
        <v>31048</v>
      </c>
      <c r="H911" s="73" t="s">
        <v>1590</v>
      </c>
      <c r="I911" s="63" t="s">
        <v>22</v>
      </c>
      <c r="J911" s="26" t="s">
        <v>30</v>
      </c>
      <c r="K911" s="64">
        <v>40529</v>
      </c>
      <c r="L911" s="64">
        <v>42979</v>
      </c>
      <c r="M911" s="98">
        <v>45108</v>
      </c>
      <c r="N911" s="98">
        <v>46934</v>
      </c>
    </row>
    <row r="912" spans="1:14" s="3" customFormat="1" ht="24.95" customHeight="1">
      <c r="A912" s="76"/>
      <c r="B912" s="86" t="s">
        <v>1199</v>
      </c>
      <c r="C912" s="27" t="s">
        <v>39</v>
      </c>
      <c r="D912" s="24" t="s">
        <v>1725</v>
      </c>
      <c r="E912" s="107" t="s">
        <v>1726</v>
      </c>
      <c r="F912" s="95" t="s">
        <v>20</v>
      </c>
      <c r="G912" s="269">
        <v>32217</v>
      </c>
      <c r="H912" s="73" t="s">
        <v>1590</v>
      </c>
      <c r="I912" s="63" t="s">
        <v>22</v>
      </c>
      <c r="J912" s="26" t="s">
        <v>30</v>
      </c>
      <c r="K912" s="269">
        <v>45747</v>
      </c>
      <c r="L912" s="269">
        <v>45747</v>
      </c>
      <c r="M912" s="269">
        <v>45748</v>
      </c>
      <c r="N912" s="269">
        <v>47573</v>
      </c>
    </row>
    <row r="913" spans="1:14" s="3" customFormat="1" ht="24.95" customHeight="1">
      <c r="A913" s="76">
        <v>2</v>
      </c>
      <c r="B913" s="86" t="s">
        <v>40</v>
      </c>
      <c r="C913" s="27" t="str">
        <f>$C$955</f>
        <v>UR 5(ii)Admin</v>
      </c>
      <c r="D913" s="24" t="s">
        <v>1625</v>
      </c>
      <c r="E913" s="107" t="s">
        <v>1626</v>
      </c>
      <c r="F913" s="46" t="s">
        <v>29</v>
      </c>
      <c r="G913" s="48">
        <v>31016</v>
      </c>
      <c r="H913" s="73" t="s">
        <v>1590</v>
      </c>
      <c r="I913" s="63" t="s">
        <v>22</v>
      </c>
      <c r="J913" s="26" t="s">
        <v>30</v>
      </c>
      <c r="K913" s="64">
        <v>40414</v>
      </c>
      <c r="L913" s="64">
        <v>45278</v>
      </c>
      <c r="M913" s="62">
        <v>45108</v>
      </c>
      <c r="N913" s="62" t="s">
        <v>927</v>
      </c>
    </row>
    <row r="914" spans="1:14" s="3" customFormat="1" ht="24.95" customHeight="1">
      <c r="A914" s="76"/>
      <c r="B914" s="86" t="s">
        <v>221</v>
      </c>
      <c r="C914" s="27" t="str">
        <f>$C$955</f>
        <v>UR 5(ii)Admin</v>
      </c>
      <c r="D914" s="84" t="s">
        <v>1627</v>
      </c>
      <c r="E914" s="96" t="s">
        <v>1628</v>
      </c>
      <c r="F914" s="46" t="s">
        <v>29</v>
      </c>
      <c r="G914" s="48">
        <v>29149</v>
      </c>
      <c r="H914" s="73" t="s">
        <v>1590</v>
      </c>
      <c r="I914" s="63" t="s">
        <v>22</v>
      </c>
      <c r="J914" s="26" t="s">
        <v>30</v>
      </c>
      <c r="K914" s="64">
        <v>43558</v>
      </c>
      <c r="L914" s="64">
        <v>45278</v>
      </c>
      <c r="M914" s="98">
        <v>45474</v>
      </c>
      <c r="N914" s="98">
        <v>47299</v>
      </c>
    </row>
    <row r="915" spans="1:14" s="3" customFormat="1" ht="24.95" customHeight="1">
      <c r="A915" s="76">
        <v>3</v>
      </c>
      <c r="B915" s="86" t="s">
        <v>216</v>
      </c>
      <c r="C915" s="27" t="s">
        <v>41</v>
      </c>
      <c r="D915" s="24" t="s">
        <v>1629</v>
      </c>
      <c r="E915" s="107" t="s">
        <v>1630</v>
      </c>
      <c r="F915" s="46" t="s">
        <v>20</v>
      </c>
      <c r="G915" s="48">
        <v>26080</v>
      </c>
      <c r="H915" s="73" t="s">
        <v>1590</v>
      </c>
      <c r="I915" s="63" t="s">
        <v>22</v>
      </c>
      <c r="J915" s="26" t="s">
        <v>30</v>
      </c>
      <c r="K915" s="64">
        <v>40500</v>
      </c>
      <c r="L915" s="64">
        <v>42795</v>
      </c>
      <c r="M915" s="98">
        <v>46934</v>
      </c>
      <c r="N915" s="98">
        <v>46934</v>
      </c>
    </row>
    <row r="916" spans="1:14" s="3" customFormat="1" ht="24.95" customHeight="1">
      <c r="A916" s="76"/>
      <c r="B916" s="86" t="s">
        <v>226</v>
      </c>
      <c r="C916" s="27" t="s">
        <v>85</v>
      </c>
      <c r="D916" s="24" t="s">
        <v>1267</v>
      </c>
      <c r="E916" s="26" t="s">
        <v>1268</v>
      </c>
      <c r="F916" s="46" t="s">
        <v>20</v>
      </c>
      <c r="G916" s="48">
        <v>26562</v>
      </c>
      <c r="H916" s="73" t="s">
        <v>1590</v>
      </c>
      <c r="I916" s="63" t="s">
        <v>22</v>
      </c>
      <c r="J916" s="26" t="s">
        <v>30</v>
      </c>
      <c r="K916" s="64">
        <v>40651</v>
      </c>
      <c r="L916" s="64">
        <v>40651</v>
      </c>
      <c r="M916" s="65">
        <v>45474</v>
      </c>
      <c r="N916" s="65">
        <v>47299</v>
      </c>
    </row>
    <row r="917" spans="1:14" s="3" customFormat="1" ht="24.95" customHeight="1">
      <c r="A917" s="76"/>
      <c r="B917" s="86" t="s">
        <v>226</v>
      </c>
      <c r="C917" s="27" t="s">
        <v>85</v>
      </c>
      <c r="D917" s="24" t="s">
        <v>1872</v>
      </c>
      <c r="E917" s="26" t="s">
        <v>1873</v>
      </c>
      <c r="F917" s="46" t="s">
        <v>1874</v>
      </c>
      <c r="G917" s="48">
        <v>35811</v>
      </c>
      <c r="H917" s="73" t="s">
        <v>1590</v>
      </c>
      <c r="I917" s="63" t="s">
        <v>22</v>
      </c>
      <c r="J917" s="26" t="s">
        <v>30</v>
      </c>
      <c r="K917" s="64">
        <v>46086</v>
      </c>
      <c r="L917" s="64">
        <v>46086</v>
      </c>
      <c r="M917" s="65">
        <v>46093</v>
      </c>
      <c r="N917" s="65">
        <v>47918</v>
      </c>
    </row>
    <row r="918" spans="1:14" s="3" customFormat="1" ht="24.95" customHeight="1">
      <c r="A918" s="76"/>
      <c r="B918" s="86" t="s">
        <v>44</v>
      </c>
      <c r="C918" s="27" t="s">
        <v>45</v>
      </c>
      <c r="D918" s="24" t="s">
        <v>1631</v>
      </c>
      <c r="E918" s="26" t="s">
        <v>1632</v>
      </c>
      <c r="F918" s="46" t="s">
        <v>20</v>
      </c>
      <c r="G918" s="260">
        <v>25173</v>
      </c>
      <c r="H918" s="73" t="s">
        <v>1590</v>
      </c>
      <c r="I918" s="63" t="s">
        <v>22</v>
      </c>
      <c r="J918" s="26" t="s">
        <v>50</v>
      </c>
      <c r="K918" s="64">
        <v>40529</v>
      </c>
      <c r="L918" s="64">
        <v>40529</v>
      </c>
      <c r="M918" s="98">
        <v>45108</v>
      </c>
      <c r="N918" s="98">
        <v>46934</v>
      </c>
    </row>
    <row r="919" spans="1:14" s="3" customFormat="1" ht="24.95" customHeight="1">
      <c r="A919" s="76"/>
      <c r="B919" s="86" t="s">
        <v>44</v>
      </c>
      <c r="C919" s="27" t="s">
        <v>45</v>
      </c>
      <c r="D919" s="24" t="s">
        <v>1633</v>
      </c>
      <c r="E919" s="263" t="s">
        <v>1634</v>
      </c>
      <c r="F919" s="46" t="s">
        <v>20</v>
      </c>
      <c r="G919" s="48">
        <v>27347</v>
      </c>
      <c r="H919" s="73" t="s">
        <v>1590</v>
      </c>
      <c r="I919" s="63" t="s">
        <v>22</v>
      </c>
      <c r="J919" s="26" t="s">
        <v>50</v>
      </c>
      <c r="K919" s="64">
        <v>43318</v>
      </c>
      <c r="L919" s="64">
        <v>43318</v>
      </c>
      <c r="M919" s="98">
        <v>45108</v>
      </c>
      <c r="N919" s="98">
        <v>46934</v>
      </c>
    </row>
    <row r="920" spans="1:14" s="3" customFormat="1" ht="24.95" customHeight="1">
      <c r="A920" s="76">
        <v>6</v>
      </c>
      <c r="B920" s="86" t="s">
        <v>44</v>
      </c>
      <c r="C920" s="27" t="s">
        <v>45</v>
      </c>
      <c r="D920" s="24" t="s">
        <v>1635</v>
      </c>
      <c r="E920" s="49" t="s">
        <v>1636</v>
      </c>
      <c r="F920" s="46" t="s">
        <v>20</v>
      </c>
      <c r="G920" s="48">
        <v>27722</v>
      </c>
      <c r="H920" s="73" t="s">
        <v>1590</v>
      </c>
      <c r="I920" s="63" t="s">
        <v>22</v>
      </c>
      <c r="J920" s="26" t="s">
        <v>50</v>
      </c>
      <c r="K920" s="64">
        <v>45418</v>
      </c>
      <c r="L920" s="64">
        <v>45418</v>
      </c>
      <c r="M920" s="64">
        <v>45418</v>
      </c>
      <c r="N920" s="65">
        <v>47243</v>
      </c>
    </row>
    <row r="921" spans="1:14" s="3" customFormat="1" ht="24.95" customHeight="1">
      <c r="A921" s="76">
        <v>8</v>
      </c>
      <c r="B921" s="86" t="s">
        <v>577</v>
      </c>
      <c r="C921" s="27" t="s">
        <v>45</v>
      </c>
      <c r="D921" s="24" t="s">
        <v>1637</v>
      </c>
      <c r="E921" s="26" t="s">
        <v>1638</v>
      </c>
      <c r="F921" s="46" t="s">
        <v>20</v>
      </c>
      <c r="G921" s="48">
        <v>24838</v>
      </c>
      <c r="H921" s="73" t="s">
        <v>1590</v>
      </c>
      <c r="I921" s="63" t="s">
        <v>22</v>
      </c>
      <c r="J921" s="26" t="s">
        <v>50</v>
      </c>
      <c r="K921" s="64">
        <v>41066</v>
      </c>
      <c r="L921" s="64">
        <v>41066</v>
      </c>
      <c r="M921" s="98">
        <v>45108</v>
      </c>
      <c r="N921" s="98">
        <v>46934</v>
      </c>
    </row>
    <row r="922" spans="1:14" s="3" customFormat="1" ht="24.95" customHeight="1">
      <c r="A922" s="76"/>
      <c r="B922" s="86" t="s">
        <v>577</v>
      </c>
      <c r="C922" s="27" t="s">
        <v>45</v>
      </c>
      <c r="D922" s="24" t="s">
        <v>1639</v>
      </c>
      <c r="E922" s="26" t="s">
        <v>1640</v>
      </c>
      <c r="F922" s="46" t="s">
        <v>20</v>
      </c>
      <c r="G922" s="48">
        <v>29992</v>
      </c>
      <c r="H922" s="73" t="s">
        <v>1590</v>
      </c>
      <c r="I922" s="63" t="s">
        <v>22</v>
      </c>
      <c r="J922" s="26" t="s">
        <v>50</v>
      </c>
      <c r="K922" s="64">
        <v>41974</v>
      </c>
      <c r="L922" s="64">
        <v>41974</v>
      </c>
      <c r="M922" s="98">
        <v>45108</v>
      </c>
      <c r="N922" s="98">
        <v>46934</v>
      </c>
    </row>
    <row r="923" spans="1:14" s="3" customFormat="1" ht="24.95" customHeight="1">
      <c r="A923" s="76"/>
      <c r="B923" s="86" t="s">
        <v>100</v>
      </c>
      <c r="C923" s="27" t="s">
        <v>47</v>
      </c>
      <c r="D923" s="24" t="s">
        <v>1641</v>
      </c>
      <c r="E923" s="26" t="s">
        <v>1642</v>
      </c>
      <c r="F923" s="46" t="s">
        <v>20</v>
      </c>
      <c r="G923" s="48">
        <v>25297</v>
      </c>
      <c r="H923" s="73" t="s">
        <v>1590</v>
      </c>
      <c r="I923" s="63" t="s">
        <v>22</v>
      </c>
      <c r="J923" s="26" t="s">
        <v>50</v>
      </c>
      <c r="K923" s="64">
        <v>42338</v>
      </c>
      <c r="L923" s="64">
        <v>42338</v>
      </c>
      <c r="M923" s="98">
        <v>45474</v>
      </c>
      <c r="N923" s="98">
        <v>47232</v>
      </c>
    </row>
    <row r="924" spans="1:14" s="3" customFormat="1" ht="24.95" customHeight="1">
      <c r="A924" s="76"/>
      <c r="B924" s="86" t="s">
        <v>100</v>
      </c>
      <c r="C924" s="27" t="s">
        <v>47</v>
      </c>
      <c r="D924" s="24" t="s">
        <v>1643</v>
      </c>
      <c r="E924" s="262" t="s">
        <v>1644</v>
      </c>
      <c r="F924" s="46" t="s">
        <v>20</v>
      </c>
      <c r="G924" s="48">
        <v>30326</v>
      </c>
      <c r="H924" s="73" t="s">
        <v>1590</v>
      </c>
      <c r="I924" s="63" t="s">
        <v>22</v>
      </c>
      <c r="J924" s="26" t="s">
        <v>50</v>
      </c>
      <c r="K924" s="64">
        <v>43294</v>
      </c>
      <c r="L924" s="64">
        <v>43294</v>
      </c>
      <c r="M924" s="98">
        <v>45108</v>
      </c>
      <c r="N924" s="98">
        <v>46934</v>
      </c>
    </row>
    <row r="925" spans="1:14" s="3" customFormat="1" ht="24.95" customHeight="1">
      <c r="A925" s="76"/>
      <c r="B925" s="31" t="s">
        <v>1220</v>
      </c>
      <c r="C925" s="76"/>
      <c r="D925" s="35"/>
      <c r="E925" s="47"/>
      <c r="F925" s="47"/>
      <c r="G925" s="47"/>
      <c r="H925" s="215"/>
      <c r="I925" s="35"/>
      <c r="J925" s="35"/>
      <c r="K925" s="100"/>
      <c r="L925" s="100"/>
      <c r="M925" s="62"/>
      <c r="N925" s="62"/>
    </row>
    <row r="926" spans="1:14" ht="24.95" customHeight="1">
      <c r="B926" s="252" t="s">
        <v>1645</v>
      </c>
      <c r="C926" s="76"/>
      <c r="D926" s="35"/>
      <c r="E926" s="30"/>
      <c r="F926" s="48"/>
      <c r="G926" s="47"/>
      <c r="H926" s="215"/>
      <c r="I926" s="35"/>
      <c r="J926" s="35"/>
      <c r="K926" s="100"/>
      <c r="L926" s="100"/>
      <c r="M926" s="62"/>
      <c r="N926" s="62"/>
    </row>
    <row r="927" spans="1:14" ht="24.95" customHeight="1">
      <c r="B927" s="95"/>
      <c r="C927" s="76"/>
      <c r="D927" s="122" t="s">
        <v>52</v>
      </c>
      <c r="E927" s="126"/>
      <c r="F927" s="126"/>
      <c r="G927" s="133"/>
      <c r="H927" s="137"/>
      <c r="I927" s="126"/>
      <c r="J927" s="126"/>
      <c r="K927" s="138"/>
      <c r="L927" s="138"/>
      <c r="M927" s="139"/>
      <c r="N927" s="139"/>
    </row>
    <row r="928" spans="1:14" ht="24.95" customHeight="1">
      <c r="A928" s="76">
        <v>1</v>
      </c>
      <c r="B928" s="137" t="s">
        <v>1646</v>
      </c>
      <c r="C928" s="198"/>
      <c r="D928" s="129" t="s">
        <v>24</v>
      </c>
      <c r="E928" s="26"/>
      <c r="F928" s="46"/>
      <c r="G928" s="48"/>
      <c r="H928" s="73"/>
      <c r="I928" s="63"/>
      <c r="J928" s="26"/>
      <c r="K928" s="64"/>
      <c r="L928" s="64"/>
      <c r="M928" s="65"/>
      <c r="N928" s="65"/>
    </row>
    <row r="929" spans="1:14" ht="24.95" customHeight="1">
      <c r="A929" s="76">
        <v>2</v>
      </c>
      <c r="B929" s="85" t="s">
        <v>291</v>
      </c>
      <c r="C929" s="27" t="s">
        <v>59</v>
      </c>
      <c r="D929" s="24" t="s">
        <v>1647</v>
      </c>
      <c r="E929" s="107" t="s">
        <v>1648</v>
      </c>
      <c r="F929" s="46" t="s">
        <v>29</v>
      </c>
      <c r="G929" s="48">
        <v>30841</v>
      </c>
      <c r="H929" s="73" t="s">
        <v>1649</v>
      </c>
      <c r="I929" s="63" t="s">
        <v>22</v>
      </c>
      <c r="J929" s="26" t="s">
        <v>62</v>
      </c>
      <c r="K929" s="64">
        <v>39566</v>
      </c>
      <c r="L929" s="64">
        <v>45810</v>
      </c>
      <c r="M929" s="65">
        <v>45108</v>
      </c>
      <c r="N929" s="65">
        <v>46934</v>
      </c>
    </row>
    <row r="930" spans="1:14" ht="24.95" customHeight="1">
      <c r="A930" s="76">
        <v>4</v>
      </c>
      <c r="B930" s="85" t="s">
        <v>291</v>
      </c>
      <c r="C930" s="27" t="s">
        <v>59</v>
      </c>
      <c r="D930" s="24" t="s">
        <v>1650</v>
      </c>
      <c r="E930" s="49" t="s">
        <v>1651</v>
      </c>
      <c r="F930" s="46" t="s">
        <v>20</v>
      </c>
      <c r="G930" s="48">
        <v>29456</v>
      </c>
      <c r="H930" s="73" t="s">
        <v>1649</v>
      </c>
      <c r="I930" s="63" t="s">
        <v>22</v>
      </c>
      <c r="J930" s="26" t="s">
        <v>62</v>
      </c>
      <c r="K930" s="64">
        <v>43217</v>
      </c>
      <c r="L930" s="64">
        <v>45810</v>
      </c>
      <c r="M930" s="65">
        <v>45108</v>
      </c>
      <c r="N930" s="65">
        <v>46934</v>
      </c>
    </row>
    <row r="931" spans="1:14" ht="24.95" customHeight="1">
      <c r="A931" s="76">
        <v>5</v>
      </c>
      <c r="B931" s="76" t="s">
        <v>320</v>
      </c>
      <c r="C931" s="27" t="s">
        <v>129</v>
      </c>
      <c r="D931" s="24" t="s">
        <v>1652</v>
      </c>
      <c r="E931" s="107" t="s">
        <v>1653</v>
      </c>
      <c r="F931" s="46" t="s">
        <v>20</v>
      </c>
      <c r="G931" s="48">
        <v>29509</v>
      </c>
      <c r="H931" s="73" t="s">
        <v>1649</v>
      </c>
      <c r="I931" s="63" t="s">
        <v>22</v>
      </c>
      <c r="J931" s="26" t="s">
        <v>62</v>
      </c>
      <c r="K931" s="64">
        <v>40078</v>
      </c>
      <c r="L931" s="64">
        <v>44805</v>
      </c>
      <c r="M931" s="65">
        <v>45108</v>
      </c>
      <c r="N931" s="65">
        <v>46934</v>
      </c>
    </row>
    <row r="932" spans="1:14" ht="24.95" customHeight="1">
      <c r="A932" s="76">
        <v>6</v>
      </c>
      <c r="B932" s="76" t="s">
        <v>524</v>
      </c>
      <c r="C932" s="27" t="str">
        <f>'STRUCTURE '!$B$68</f>
        <v>UR 5(i)RS</v>
      </c>
      <c r="D932" s="24" t="s">
        <v>1654</v>
      </c>
      <c r="E932" s="26" t="s">
        <v>1655</v>
      </c>
      <c r="F932" s="46" t="s">
        <v>29</v>
      </c>
      <c r="G932" s="48">
        <v>30812</v>
      </c>
      <c r="H932" s="73" t="s">
        <v>1649</v>
      </c>
      <c r="I932" s="63" t="s">
        <v>22</v>
      </c>
      <c r="J932" s="26" t="s">
        <v>62</v>
      </c>
      <c r="K932" s="64">
        <v>42093</v>
      </c>
      <c r="L932" s="64">
        <v>42093</v>
      </c>
      <c r="M932" s="65">
        <v>45474</v>
      </c>
      <c r="N932" s="65">
        <v>47299</v>
      </c>
    </row>
    <row r="933" spans="1:14" ht="24.95" customHeight="1">
      <c r="A933" s="76">
        <v>7</v>
      </c>
      <c r="B933" s="76" t="s">
        <v>524</v>
      </c>
      <c r="C933" s="27" t="str">
        <f>'STRUCTURE '!$B$68</f>
        <v>UR 5(i)RS</v>
      </c>
      <c r="D933" s="24" t="s">
        <v>1656</v>
      </c>
      <c r="E933" s="26" t="s">
        <v>1657</v>
      </c>
      <c r="F933" s="46" t="s">
        <v>20</v>
      </c>
      <c r="G933" s="48">
        <v>26659</v>
      </c>
      <c r="H933" s="73" t="s">
        <v>1649</v>
      </c>
      <c r="I933" s="63" t="s">
        <v>22</v>
      </c>
      <c r="J933" s="26" t="s">
        <v>62</v>
      </c>
      <c r="K933" s="64">
        <v>42705</v>
      </c>
      <c r="L933" s="64">
        <v>42705</v>
      </c>
      <c r="M933" s="65">
        <v>45108</v>
      </c>
      <c r="N933" s="65">
        <v>46934</v>
      </c>
    </row>
    <row r="934" spans="1:14" ht="24.95" customHeight="1">
      <c r="A934" s="76">
        <v>8</v>
      </c>
      <c r="B934" s="76" t="s">
        <v>524</v>
      </c>
      <c r="C934" s="27" t="str">
        <f>'STRUCTURE '!$B$68</f>
        <v>UR 5(i)RS</v>
      </c>
      <c r="D934" s="24" t="s">
        <v>1658</v>
      </c>
      <c r="E934" s="26" t="s">
        <v>1659</v>
      </c>
      <c r="F934" s="46" t="s">
        <v>20</v>
      </c>
      <c r="G934" s="48">
        <v>31048</v>
      </c>
      <c r="H934" s="73" t="s">
        <v>1649</v>
      </c>
      <c r="I934" s="63" t="s">
        <v>22</v>
      </c>
      <c r="J934" s="26" t="s">
        <v>62</v>
      </c>
      <c r="K934" s="64">
        <v>42884</v>
      </c>
      <c r="L934" s="64">
        <v>42884</v>
      </c>
      <c r="M934" s="65">
        <v>45108</v>
      </c>
      <c r="N934" s="65">
        <v>46934</v>
      </c>
    </row>
    <row r="935" spans="1:14" ht="24.95" customHeight="1">
      <c r="A935" s="76">
        <v>9</v>
      </c>
      <c r="B935" s="76" t="s">
        <v>524</v>
      </c>
      <c r="C935" s="27" t="str">
        <f>'STRUCTURE '!$B$68</f>
        <v>UR 5(i)RS</v>
      </c>
      <c r="D935" s="24" t="s">
        <v>1660</v>
      </c>
      <c r="E935" s="46" t="s">
        <v>1661</v>
      </c>
      <c r="F935" s="46" t="s">
        <v>20</v>
      </c>
      <c r="G935" s="48">
        <v>32285</v>
      </c>
      <c r="H935" s="73" t="s">
        <v>1649</v>
      </c>
      <c r="I935" s="63" t="s">
        <v>22</v>
      </c>
      <c r="J935" s="26" t="s">
        <v>62</v>
      </c>
      <c r="K935" s="64">
        <v>43612</v>
      </c>
      <c r="L935" s="64">
        <v>43612</v>
      </c>
      <c r="M935" s="65">
        <v>45474</v>
      </c>
      <c r="N935" s="65">
        <v>47299</v>
      </c>
    </row>
    <row r="936" spans="1:14" ht="24.95" customHeight="1">
      <c r="A936" s="76">
        <v>11</v>
      </c>
      <c r="B936" s="76" t="s">
        <v>524</v>
      </c>
      <c r="C936" s="27" t="str">
        <f>'STRUCTURE '!$B$68</f>
        <v>UR 5(i)RS</v>
      </c>
      <c r="D936" s="24" t="s">
        <v>1662</v>
      </c>
      <c r="E936" s="107" t="s">
        <v>1663</v>
      </c>
      <c r="F936" s="46" t="s">
        <v>20</v>
      </c>
      <c r="G936" s="48">
        <v>25936</v>
      </c>
      <c r="H936" s="73" t="s">
        <v>1649</v>
      </c>
      <c r="I936" s="63" t="s">
        <v>22</v>
      </c>
      <c r="J936" s="26" t="s">
        <v>62</v>
      </c>
      <c r="K936" s="64">
        <v>39449</v>
      </c>
      <c r="L936" s="64">
        <v>43800</v>
      </c>
      <c r="M936" s="65">
        <v>45475</v>
      </c>
      <c r="N936" s="65">
        <v>47299</v>
      </c>
    </row>
    <row r="937" spans="1:14" ht="24.95" customHeight="1">
      <c r="A937" s="76">
        <v>12</v>
      </c>
      <c r="B937" s="76" t="s">
        <v>524</v>
      </c>
      <c r="C937" s="27" t="str">
        <f>'STRUCTURE '!$B$68</f>
        <v>UR 5(i)RS</v>
      </c>
      <c r="D937" s="24" t="s">
        <v>1664</v>
      </c>
      <c r="E937" s="26" t="s">
        <v>1665</v>
      </c>
      <c r="F937" s="46" t="s">
        <v>20</v>
      </c>
      <c r="G937" s="48">
        <v>32833</v>
      </c>
      <c r="H937" s="73" t="s">
        <v>1649</v>
      </c>
      <c r="I937" s="63" t="s">
        <v>22</v>
      </c>
      <c r="J937" s="26" t="s">
        <v>62</v>
      </c>
      <c r="K937" s="64">
        <v>42093</v>
      </c>
      <c r="L937" s="64">
        <v>44348</v>
      </c>
      <c r="M937" s="65">
        <v>45476</v>
      </c>
      <c r="N937" s="65">
        <v>47299</v>
      </c>
    </row>
    <row r="938" spans="1:14" ht="24.95" customHeight="1">
      <c r="B938" s="76" t="s">
        <v>524</v>
      </c>
      <c r="C938" s="27"/>
      <c r="D938" s="24" t="s">
        <v>1945</v>
      </c>
      <c r="E938" s="263" t="s">
        <v>1946</v>
      </c>
      <c r="F938" s="46" t="s">
        <v>20</v>
      </c>
      <c r="G938" s="48">
        <v>33297</v>
      </c>
      <c r="H938" s="73" t="s">
        <v>1649</v>
      </c>
      <c r="I938" s="63" t="s">
        <v>22</v>
      </c>
      <c r="J938" s="26" t="s">
        <v>62</v>
      </c>
      <c r="K938" s="64">
        <v>43682</v>
      </c>
      <c r="L938" s="64">
        <v>43682</v>
      </c>
      <c r="M938" s="65">
        <v>45474</v>
      </c>
      <c r="N938" s="65">
        <v>47299</v>
      </c>
    </row>
    <row r="939" spans="1:14" ht="24.95" customHeight="1">
      <c r="A939" s="76">
        <v>13</v>
      </c>
      <c r="B939" s="76" t="s">
        <v>360</v>
      </c>
      <c r="C939" s="27" t="str">
        <f>'STRUCTURE '!$B$89</f>
        <v>UR 5(i)RT</v>
      </c>
      <c r="D939" s="24" t="s">
        <v>1666</v>
      </c>
      <c r="E939" s="46" t="s">
        <v>1667</v>
      </c>
      <c r="F939" s="46" t="s">
        <v>20</v>
      </c>
      <c r="G939" s="235">
        <v>31481</v>
      </c>
      <c r="H939" s="73" t="s">
        <v>1649</v>
      </c>
      <c r="I939" s="63" t="s">
        <v>22</v>
      </c>
      <c r="J939" s="26" t="s">
        <v>70</v>
      </c>
      <c r="K939" s="100">
        <v>43832</v>
      </c>
      <c r="L939" s="100">
        <v>43832</v>
      </c>
      <c r="M939" s="65">
        <v>44378</v>
      </c>
      <c r="N939" s="65">
        <v>46203</v>
      </c>
    </row>
    <row r="940" spans="1:14" ht="24.95" customHeight="1">
      <c r="B940" s="76" t="s">
        <v>621</v>
      </c>
      <c r="C940" s="27" t="str">
        <f>'STRUCTURE '!$B$92</f>
        <v>UR 5(ii)RT</v>
      </c>
      <c r="D940" s="24" t="s">
        <v>1668</v>
      </c>
      <c r="E940" s="107" t="s">
        <v>1669</v>
      </c>
      <c r="F940" s="46" t="s">
        <v>20</v>
      </c>
      <c r="G940" s="48">
        <v>27307</v>
      </c>
      <c r="H940" s="73" t="s">
        <v>1649</v>
      </c>
      <c r="I940" s="63" t="s">
        <v>22</v>
      </c>
      <c r="J940" s="26" t="s">
        <v>70</v>
      </c>
      <c r="K940" s="64">
        <v>39449</v>
      </c>
      <c r="L940" s="64">
        <v>42795</v>
      </c>
      <c r="M940" s="65">
        <v>45108</v>
      </c>
      <c r="N940" s="65">
        <v>46934</v>
      </c>
    </row>
    <row r="941" spans="1:14" ht="24.95" customHeight="1">
      <c r="B941" s="76" t="s">
        <v>621</v>
      </c>
      <c r="C941" s="27" t="str">
        <f>'STRUCTURE '!$B$92</f>
        <v>UR 5(ii)RT</v>
      </c>
      <c r="D941" s="84" t="s">
        <v>1670</v>
      </c>
      <c r="E941" s="26" t="s">
        <v>1671</v>
      </c>
      <c r="F941" s="46" t="s">
        <v>29</v>
      </c>
      <c r="G941" s="48">
        <v>28937</v>
      </c>
      <c r="H941" s="73" t="s">
        <v>1649</v>
      </c>
      <c r="I941" s="63" t="s">
        <v>22</v>
      </c>
      <c r="J941" s="26" t="s">
        <v>70</v>
      </c>
      <c r="K941" s="64">
        <v>40897</v>
      </c>
      <c r="L941" s="64">
        <v>42795</v>
      </c>
      <c r="M941" s="65">
        <v>127653</v>
      </c>
      <c r="N941" s="65">
        <v>47299</v>
      </c>
    </row>
    <row r="942" spans="1:14" ht="24.95" customHeight="1">
      <c r="A942" s="76">
        <v>14</v>
      </c>
      <c r="B942" s="76" t="s">
        <v>627</v>
      </c>
      <c r="C942" s="27" t="str">
        <f>'STRUCTURE '!$B$113</f>
        <v>UR 6RT</v>
      </c>
      <c r="D942" s="24" t="s">
        <v>1672</v>
      </c>
      <c r="E942" s="107" t="s">
        <v>1673</v>
      </c>
      <c r="F942" s="46" t="s">
        <v>29</v>
      </c>
      <c r="G942" s="48">
        <v>30521</v>
      </c>
      <c r="H942" s="73" t="s">
        <v>1649</v>
      </c>
      <c r="I942" s="63" t="s">
        <v>22</v>
      </c>
      <c r="J942" s="26" t="s">
        <v>70</v>
      </c>
      <c r="K942" s="64">
        <v>40717</v>
      </c>
      <c r="L942" s="64">
        <v>40717</v>
      </c>
      <c r="M942" s="65">
        <v>45474</v>
      </c>
      <c r="N942" s="65">
        <v>47299</v>
      </c>
    </row>
    <row r="943" spans="1:14" ht="24.95" customHeight="1">
      <c r="B943" s="76" t="s">
        <v>627</v>
      </c>
      <c r="C943" s="27" t="str">
        <f>'STRUCTURE '!$B$113</f>
        <v>UR 6RT</v>
      </c>
      <c r="D943" s="24" t="s">
        <v>1676</v>
      </c>
      <c r="E943" s="26" t="s">
        <v>1677</v>
      </c>
      <c r="F943" s="46" t="s">
        <v>20</v>
      </c>
      <c r="G943" s="48">
        <v>31545</v>
      </c>
      <c r="H943" s="73" t="s">
        <v>1649</v>
      </c>
      <c r="I943" s="63" t="s">
        <v>22</v>
      </c>
      <c r="J943" s="26" t="s">
        <v>70</v>
      </c>
      <c r="K943" s="64">
        <v>42739</v>
      </c>
      <c r="L943" s="64">
        <v>42739</v>
      </c>
      <c r="M943" s="65">
        <v>45108</v>
      </c>
      <c r="N943" s="65">
        <v>46934</v>
      </c>
    </row>
    <row r="944" spans="1:14" ht="24.95" customHeight="1">
      <c r="A944" s="3">
        <v>15</v>
      </c>
      <c r="B944" s="76" t="s">
        <v>627</v>
      </c>
      <c r="C944" s="27" t="str">
        <f>'STRUCTURE '!$B$113</f>
        <v>UR 6RT</v>
      </c>
      <c r="D944" s="24" t="s">
        <v>1678</v>
      </c>
      <c r="E944" s="49" t="s">
        <v>1679</v>
      </c>
      <c r="F944" s="46" t="s">
        <v>29</v>
      </c>
      <c r="G944" s="48">
        <v>31405</v>
      </c>
      <c r="H944" s="73" t="s">
        <v>1649</v>
      </c>
      <c r="I944" s="63" t="s">
        <v>22</v>
      </c>
      <c r="J944" s="26" t="s">
        <v>70</v>
      </c>
      <c r="K944" s="64">
        <v>43193</v>
      </c>
      <c r="L944" s="64">
        <v>43193</v>
      </c>
      <c r="M944" s="65">
        <v>45109</v>
      </c>
      <c r="N944" s="65">
        <v>46934</v>
      </c>
    </row>
    <row r="945" spans="1:14" ht="24.95" customHeight="1">
      <c r="B945" s="76" t="s">
        <v>627</v>
      </c>
      <c r="C945" s="27" t="str">
        <f>'STRUCTURE '!$B$113</f>
        <v>UR 6RT</v>
      </c>
      <c r="D945" s="24" t="s">
        <v>1680</v>
      </c>
      <c r="E945" s="49" t="s">
        <v>1681</v>
      </c>
      <c r="F945" s="46" t="s">
        <v>20</v>
      </c>
      <c r="G945" s="48">
        <v>35652</v>
      </c>
      <c r="H945" s="73" t="s">
        <v>1649</v>
      </c>
      <c r="I945" s="63" t="s">
        <v>22</v>
      </c>
      <c r="J945" s="26" t="s">
        <v>70</v>
      </c>
      <c r="K945" s="64">
        <v>45418</v>
      </c>
      <c r="L945" s="64">
        <v>45418</v>
      </c>
      <c r="M945" s="64">
        <v>45418</v>
      </c>
      <c r="N945" s="64">
        <v>47243</v>
      </c>
    </row>
    <row r="946" spans="1:14" ht="24.95" customHeight="1">
      <c r="B946" s="77" t="s">
        <v>1771</v>
      </c>
      <c r="C946" s="3"/>
      <c r="D946" s="3"/>
      <c r="E946" s="49"/>
      <c r="F946" s="46"/>
      <c r="G946" s="48"/>
      <c r="H946" s="73"/>
      <c r="I946" s="63"/>
      <c r="J946" s="26"/>
      <c r="K946" s="64"/>
      <c r="L946" s="64"/>
      <c r="M946" s="65"/>
      <c r="N946" s="65"/>
    </row>
    <row r="947" spans="1:14" ht="24.95" customHeight="1">
      <c r="B947" s="252" t="s">
        <v>1197</v>
      </c>
      <c r="C947" s="76"/>
      <c r="D947" s="35"/>
      <c r="E947" s="35"/>
      <c r="F947" s="35"/>
      <c r="G947" s="47"/>
      <c r="H947" s="215"/>
      <c r="I947" s="35"/>
      <c r="J947" s="35"/>
      <c r="K947" s="100"/>
      <c r="L947" s="100"/>
      <c r="M947" s="62"/>
      <c r="N947" s="62"/>
    </row>
    <row r="948" spans="1:14" ht="24.95" customHeight="1">
      <c r="B948" s="76" t="s">
        <v>650</v>
      </c>
      <c r="C948" s="261" t="s">
        <v>55</v>
      </c>
      <c r="D948" s="24" t="s">
        <v>1682</v>
      </c>
      <c r="E948" s="96" t="s">
        <v>1683</v>
      </c>
      <c r="F948" s="46" t="s">
        <v>20</v>
      </c>
      <c r="G948" s="48">
        <v>24284</v>
      </c>
      <c r="H948" s="73" t="s">
        <v>1649</v>
      </c>
      <c r="I948" s="63" t="s">
        <v>22</v>
      </c>
      <c r="J948" s="26" t="s">
        <v>62</v>
      </c>
      <c r="K948" s="64">
        <v>38196</v>
      </c>
      <c r="L948" s="64">
        <v>44743</v>
      </c>
      <c r="M948" s="65">
        <v>45108</v>
      </c>
      <c r="N948" s="65">
        <v>46934</v>
      </c>
    </row>
    <row r="949" spans="1:14" ht="24.95" customHeight="1">
      <c r="B949" s="85" t="s">
        <v>543</v>
      </c>
      <c r="C949" s="27" t="s">
        <v>39</v>
      </c>
      <c r="D949" s="24" t="s">
        <v>1684</v>
      </c>
      <c r="E949" s="90" t="s">
        <v>1685</v>
      </c>
      <c r="F949" s="46" t="s">
        <v>20</v>
      </c>
      <c r="G949" s="48">
        <v>27707</v>
      </c>
      <c r="H949" s="73" t="s">
        <v>1649</v>
      </c>
      <c r="I949" s="63" t="s">
        <v>22</v>
      </c>
      <c r="J949" s="26" t="s">
        <v>30</v>
      </c>
      <c r="K949" s="64">
        <v>39633</v>
      </c>
      <c r="L949" s="64">
        <v>41426</v>
      </c>
      <c r="M949" s="62">
        <v>45108</v>
      </c>
      <c r="N949" s="62">
        <v>46934</v>
      </c>
    </row>
    <row r="950" spans="1:14" ht="24.95" customHeight="1">
      <c r="A950" s="76">
        <v>2</v>
      </c>
      <c r="B950" s="85" t="s">
        <v>173</v>
      </c>
      <c r="C950" s="27" t="str">
        <f>'STRUCTURE '!$B$89</f>
        <v>UR 5(i)RT</v>
      </c>
      <c r="D950" s="24" t="s">
        <v>1686</v>
      </c>
      <c r="E950" s="26" t="s">
        <v>1687</v>
      </c>
      <c r="F950" s="46" t="s">
        <v>20</v>
      </c>
      <c r="G950" s="48">
        <v>31050</v>
      </c>
      <c r="H950" s="73" t="s">
        <v>1649</v>
      </c>
      <c r="I950" s="63" t="s">
        <v>22</v>
      </c>
      <c r="J950" s="26" t="s">
        <v>30</v>
      </c>
      <c r="K950" s="64">
        <v>42740</v>
      </c>
      <c r="L950" s="64">
        <v>42740</v>
      </c>
      <c r="M950" s="65">
        <v>45108</v>
      </c>
      <c r="N950" s="65">
        <v>46934</v>
      </c>
    </row>
    <row r="951" spans="1:14" ht="24.95" customHeight="1">
      <c r="A951" s="76">
        <v>3</v>
      </c>
      <c r="B951" s="76" t="s">
        <v>83</v>
      </c>
      <c r="C951" s="27" t="str">
        <f>'STRUCTURE '!$B$93</f>
        <v>UR 5(i)Admin</v>
      </c>
      <c r="D951" s="24" t="s">
        <v>1688</v>
      </c>
      <c r="E951" s="26" t="s">
        <v>1689</v>
      </c>
      <c r="F951" s="46" t="s">
        <v>20</v>
      </c>
      <c r="G951" s="48">
        <v>29594</v>
      </c>
      <c r="H951" s="73" t="s">
        <v>1649</v>
      </c>
      <c r="I951" s="63" t="s">
        <v>22</v>
      </c>
      <c r="J951" s="26" t="s">
        <v>30</v>
      </c>
      <c r="K951" s="64">
        <v>41667</v>
      </c>
      <c r="L951" s="64">
        <v>43983</v>
      </c>
      <c r="M951" s="65">
        <v>45108</v>
      </c>
      <c r="N951" s="65">
        <v>46934</v>
      </c>
    </row>
    <row r="952" spans="1:14" ht="24.95" customHeight="1">
      <c r="B952" s="85" t="s">
        <v>1199</v>
      </c>
      <c r="C952" s="27" t="str">
        <f>'STRUCTURE '!$B$93</f>
        <v>UR 5(i)Admin</v>
      </c>
      <c r="D952" s="24" t="s">
        <v>1690</v>
      </c>
      <c r="E952" s="26" t="s">
        <v>1691</v>
      </c>
      <c r="F952" s="46" t="s">
        <v>20</v>
      </c>
      <c r="G952" s="48">
        <v>27816</v>
      </c>
      <c r="H952" s="73" t="s">
        <v>1649</v>
      </c>
      <c r="I952" s="63" t="s">
        <v>22</v>
      </c>
      <c r="J952" s="26" t="s">
        <v>30</v>
      </c>
      <c r="K952" s="64">
        <v>39980</v>
      </c>
      <c r="L952" s="64">
        <v>39980</v>
      </c>
      <c r="M952" s="65">
        <v>45108</v>
      </c>
      <c r="N952" s="65">
        <v>46934</v>
      </c>
    </row>
    <row r="953" spans="1:14" ht="24.95" customHeight="1">
      <c r="A953" s="76">
        <v>4</v>
      </c>
      <c r="B953" s="76" t="s">
        <v>540</v>
      </c>
      <c r="C953" s="27" t="str">
        <f>'STRUCTURE '!$B$93</f>
        <v>UR 5(i)Admin</v>
      </c>
      <c r="D953" s="24" t="s">
        <v>1692</v>
      </c>
      <c r="E953" s="262" t="s">
        <v>1693</v>
      </c>
      <c r="F953" s="46" t="s">
        <v>20</v>
      </c>
      <c r="G953" s="48">
        <v>24686</v>
      </c>
      <c r="H953" s="73" t="s">
        <v>1649</v>
      </c>
      <c r="I953" s="63" t="s">
        <v>22</v>
      </c>
      <c r="J953" s="26" t="s">
        <v>30</v>
      </c>
      <c r="K953" s="64">
        <v>37249</v>
      </c>
      <c r="L953" s="64">
        <v>41760</v>
      </c>
      <c r="M953" s="65">
        <v>45475</v>
      </c>
      <c r="N953" s="65">
        <v>46601</v>
      </c>
    </row>
    <row r="954" spans="1:14" ht="24.95" customHeight="1">
      <c r="B954" s="76" t="s">
        <v>205</v>
      </c>
      <c r="C954" s="27" t="str">
        <f>'STRUCTURE '!$B$59</f>
        <v>UR 4Admin</v>
      </c>
      <c r="D954" s="24" t="s">
        <v>1694</v>
      </c>
      <c r="E954" s="26" t="s">
        <v>1695</v>
      </c>
      <c r="F954" s="46" t="s">
        <v>20</v>
      </c>
      <c r="G954" s="48">
        <v>25715</v>
      </c>
      <c r="H954" s="73" t="s">
        <v>1649</v>
      </c>
      <c r="I954" s="63" t="s">
        <v>22</v>
      </c>
      <c r="J954" s="26" t="s">
        <v>30</v>
      </c>
      <c r="K954" s="64">
        <v>38660</v>
      </c>
      <c r="L954" s="64">
        <v>41214</v>
      </c>
      <c r="M954" s="65">
        <v>45108</v>
      </c>
      <c r="N954" s="65">
        <v>46934</v>
      </c>
    </row>
    <row r="955" spans="1:14" ht="24.95" customHeight="1">
      <c r="B955" s="76" t="s">
        <v>221</v>
      </c>
      <c r="C955" s="27" t="str">
        <f>'STRUCTURE '!$B$110</f>
        <v>UR 5(ii)Admin</v>
      </c>
      <c r="D955" s="24" t="s">
        <v>1696</v>
      </c>
      <c r="E955" s="26" t="s">
        <v>1697</v>
      </c>
      <c r="F955" s="46" t="s">
        <v>20</v>
      </c>
      <c r="G955" s="48">
        <v>31023</v>
      </c>
      <c r="H955" s="73" t="s">
        <v>1649</v>
      </c>
      <c r="I955" s="63" t="s">
        <v>22</v>
      </c>
      <c r="J955" s="26" t="s">
        <v>30</v>
      </c>
      <c r="K955" s="64">
        <v>40917</v>
      </c>
      <c r="L955" s="64">
        <v>40917</v>
      </c>
      <c r="M955" s="65">
        <v>45839</v>
      </c>
      <c r="N955" s="65">
        <v>47664</v>
      </c>
    </row>
    <row r="956" spans="1:14" ht="24.95" customHeight="1">
      <c r="B956" s="85" t="s">
        <v>1891</v>
      </c>
      <c r="C956" s="27" t="str">
        <f>'STRUCTURE '!$B$124</f>
        <v>UR 6Admin</v>
      </c>
      <c r="D956" s="35" t="s">
        <v>1892</v>
      </c>
      <c r="E956" s="35" t="s">
        <v>1893</v>
      </c>
      <c r="F956" s="35" t="s">
        <v>1874</v>
      </c>
      <c r="G956" s="235">
        <v>37054</v>
      </c>
      <c r="H956" s="73" t="s">
        <v>1649</v>
      </c>
      <c r="I956" s="63" t="s">
        <v>22</v>
      </c>
      <c r="J956" s="26" t="s">
        <v>30</v>
      </c>
      <c r="K956" s="100">
        <v>46086</v>
      </c>
      <c r="L956" s="100">
        <v>46086</v>
      </c>
      <c r="M956" s="62">
        <v>46113</v>
      </c>
      <c r="N956" s="62">
        <v>47938</v>
      </c>
    </row>
    <row r="957" spans="1:14" ht="24.95" customHeight="1">
      <c r="B957" s="85" t="s">
        <v>393</v>
      </c>
      <c r="C957" s="27" t="str">
        <f>'STRUCTURE '!$B$110</f>
        <v>UR 5(ii)Admin</v>
      </c>
      <c r="D957" s="24" t="s">
        <v>1701</v>
      </c>
      <c r="E957" s="26" t="s">
        <v>1702</v>
      </c>
      <c r="F957" s="26" t="s">
        <v>29</v>
      </c>
      <c r="G957" s="43">
        <v>26153</v>
      </c>
      <c r="H957" s="51" t="s">
        <v>1649</v>
      </c>
      <c r="I957" s="52" t="s">
        <v>22</v>
      </c>
      <c r="J957" s="26" t="s">
        <v>30</v>
      </c>
      <c r="K957" s="64">
        <v>34514</v>
      </c>
      <c r="L957" s="64">
        <v>42795</v>
      </c>
      <c r="M957" s="65">
        <v>45839</v>
      </c>
      <c r="N957" s="65">
        <v>47664</v>
      </c>
    </row>
    <row r="958" spans="1:14" ht="24.95" customHeight="1">
      <c r="B958" s="76" t="s">
        <v>44</v>
      </c>
      <c r="C958" s="27" t="s">
        <v>45</v>
      </c>
      <c r="D958" s="24" t="s">
        <v>1703</v>
      </c>
      <c r="E958" s="107" t="s">
        <v>1704</v>
      </c>
      <c r="F958" s="46" t="s">
        <v>20</v>
      </c>
      <c r="G958" s="48">
        <v>26333</v>
      </c>
      <c r="H958" s="73" t="s">
        <v>1649</v>
      </c>
      <c r="I958" s="63" t="s">
        <v>22</v>
      </c>
      <c r="J958" s="26" t="s">
        <v>50</v>
      </c>
      <c r="K958" s="64">
        <v>39711</v>
      </c>
      <c r="L958" s="64">
        <v>39711</v>
      </c>
      <c r="M958" s="65">
        <v>45108</v>
      </c>
      <c r="N958" s="65">
        <v>46934</v>
      </c>
    </row>
    <row r="959" spans="1:14" ht="24.95" customHeight="1">
      <c r="B959" s="76" t="s">
        <v>44</v>
      </c>
      <c r="C959" s="27" t="s">
        <v>45</v>
      </c>
      <c r="D959" s="84" t="s">
        <v>1705</v>
      </c>
      <c r="E959" s="107" t="s">
        <v>1706</v>
      </c>
      <c r="F959" s="46" t="s">
        <v>20</v>
      </c>
      <c r="G959" s="48">
        <v>28491</v>
      </c>
      <c r="H959" s="73" t="s">
        <v>1649</v>
      </c>
      <c r="I959" s="63" t="s">
        <v>22</v>
      </c>
      <c r="J959" s="26" t="s">
        <v>50</v>
      </c>
      <c r="K959" s="64">
        <v>40406</v>
      </c>
      <c r="L959" s="64">
        <v>40406</v>
      </c>
      <c r="M959" s="65">
        <v>45108</v>
      </c>
      <c r="N959" s="65">
        <v>46935</v>
      </c>
    </row>
    <row r="960" spans="1:14" ht="24.95" customHeight="1">
      <c r="A960" s="76">
        <v>8</v>
      </c>
      <c r="B960" s="76" t="s">
        <v>44</v>
      </c>
      <c r="C960" s="27" t="s">
        <v>45</v>
      </c>
      <c r="D960" s="35" t="s">
        <v>1955</v>
      </c>
      <c r="E960" s="95" t="s">
        <v>1953</v>
      </c>
      <c r="F960" s="46" t="s">
        <v>20</v>
      </c>
      <c r="G960" s="235">
        <v>32867</v>
      </c>
      <c r="H960" s="73" t="s">
        <v>1649</v>
      </c>
      <c r="I960" s="63" t="s">
        <v>22</v>
      </c>
      <c r="J960" s="26" t="s">
        <v>50</v>
      </c>
      <c r="K960" s="100">
        <v>46099</v>
      </c>
      <c r="L960" s="100">
        <v>46099</v>
      </c>
      <c r="M960" s="62">
        <v>46146</v>
      </c>
      <c r="N960" s="62">
        <v>47971</v>
      </c>
    </row>
    <row r="961" spans="1:14" ht="24.95" customHeight="1">
      <c r="A961" s="76">
        <v>9</v>
      </c>
      <c r="B961" s="76" t="s">
        <v>46</v>
      </c>
      <c r="C961" s="27" t="s">
        <v>47</v>
      </c>
      <c r="D961" s="24" t="s">
        <v>1707</v>
      </c>
      <c r="E961" s="107" t="s">
        <v>1708</v>
      </c>
      <c r="F961" s="46" t="s">
        <v>29</v>
      </c>
      <c r="G961" s="48">
        <v>25966</v>
      </c>
      <c r="H961" s="73" t="s">
        <v>1649</v>
      </c>
      <c r="I961" s="63" t="s">
        <v>22</v>
      </c>
      <c r="J961" s="26" t="s">
        <v>50</v>
      </c>
      <c r="K961" s="64">
        <v>34468</v>
      </c>
      <c r="L961" s="64">
        <v>34468</v>
      </c>
      <c r="M961" s="65">
        <v>45108</v>
      </c>
      <c r="N961" s="65">
        <v>46934</v>
      </c>
    </row>
    <row r="962" spans="1:14" ht="24.95" customHeight="1">
      <c r="B962" s="76" t="s">
        <v>46</v>
      </c>
      <c r="C962" s="27" t="s">
        <v>47</v>
      </c>
      <c r="D962" s="24" t="s">
        <v>1709</v>
      </c>
      <c r="E962" s="107" t="s">
        <v>1710</v>
      </c>
      <c r="F962" s="46" t="s">
        <v>29</v>
      </c>
      <c r="G962" s="48">
        <v>27070</v>
      </c>
      <c r="H962" s="73" t="s">
        <v>1649</v>
      </c>
      <c r="I962" s="63" t="s">
        <v>22</v>
      </c>
      <c r="J962" s="26" t="s">
        <v>50</v>
      </c>
      <c r="K962" s="64">
        <v>34468</v>
      </c>
      <c r="L962" s="64">
        <v>34468</v>
      </c>
      <c r="M962" s="65">
        <v>44013</v>
      </c>
      <c r="N962" s="65">
        <v>47299</v>
      </c>
    </row>
    <row r="963" spans="1:14" ht="16.5">
      <c r="A963" s="76">
        <v>10</v>
      </c>
      <c r="B963" s="252" t="s">
        <v>1850</v>
      </c>
    </row>
    <row r="967" spans="1:14">
      <c r="A967" s="76">
        <v>10</v>
      </c>
    </row>
    <row r="969" spans="1:14">
      <c r="A969" s="76">
        <v>1</v>
      </c>
    </row>
    <row r="970" spans="1:14">
      <c r="A970" s="76">
        <v>2</v>
      </c>
    </row>
    <row r="971" spans="1:14">
      <c r="A971" s="76">
        <v>3</v>
      </c>
    </row>
    <row r="972" spans="1:14">
      <c r="A972" s="76">
        <v>4</v>
      </c>
    </row>
    <row r="973" spans="1:14">
      <c r="A973" s="76">
        <v>5</v>
      </c>
    </row>
    <row r="974" spans="1:14">
      <c r="A974" s="76">
        <v>6</v>
      </c>
    </row>
    <row r="976" spans="1:14">
      <c r="A976" s="76">
        <v>8</v>
      </c>
    </row>
    <row r="979" spans="1:1">
      <c r="A979" s="76">
        <v>12</v>
      </c>
    </row>
    <row r="982" spans="1:1">
      <c r="A982" s="76">
        <v>13</v>
      </c>
    </row>
  </sheetData>
  <protectedRanges>
    <protectedRange sqref="E592" name="Range2_99_8_1_1_1"/>
    <protectedRange sqref="E587" name="Range2_99_1_10_1_1"/>
    <protectedRange sqref="E618" name="Range2_99_25_1_1_2"/>
    <protectedRange sqref="E619" name="Range2_99_26_1_1"/>
    <protectedRange sqref="E620" name="Range2_99_27_1_1"/>
    <protectedRange sqref="E616" name="Range2_99_1_17_1_1_1"/>
    <protectedRange sqref="E625" name="Range2_99_1_17_1"/>
    <protectedRange sqref="E626" name="Range2_99_27_1"/>
    <protectedRange sqref="E137:E138 E122 E206 E164 E194" name="Range2_99_1_2_1"/>
    <protectedRange sqref="E106" name="Range2_99_1_3_2"/>
    <protectedRange sqref="E123" name="Range2_99_1_1_1_1"/>
    <protectedRange sqref="E153" name="Range2_3"/>
    <protectedRange sqref="E381 E140" name="Range2_99_14_1"/>
    <protectedRange sqref="E142" name="Range2_99_15"/>
    <protectedRange sqref="E109" name="Range2_99_16"/>
    <protectedRange sqref="E201" name="Range2_99_1_23_1"/>
    <protectedRange sqref="E129" name="Range2_99_18_1"/>
    <protectedRange sqref="E130" name="Range2_99_18_2"/>
    <protectedRange sqref="E112" name="Range2_99_18_3"/>
    <protectedRange sqref="E113" name="Range2_99_18_4"/>
    <protectedRange sqref="E114" name="Range2_99_18_5"/>
    <protectedRange sqref="E116" name="Range2_99_1_5_2"/>
    <protectedRange sqref="E117" name="Range2_99_1_6_1"/>
    <protectedRange sqref="E118" name="Range2_99_1_7_1"/>
    <protectedRange sqref="E132:E133" name="Range2_99_17_1"/>
    <protectedRange sqref="E134" name="Range2_99_3_1_1"/>
    <protectedRange sqref="E204" name="Range2_99_17_2"/>
    <protectedRange sqref="E212" name="Range2_99_1_8_1"/>
    <protectedRange sqref="E143:E144" name="Range2_99_18_8"/>
    <protectedRange sqref="E148" name="Range2_99_1_9_1"/>
    <protectedRange sqref="E149" name="Range2_99_20_1"/>
    <protectedRange sqref="E158" name="Range2_99_17_3"/>
    <protectedRange sqref="E162" name="Range2_99_1_16_1"/>
    <protectedRange sqref="E161" name="Range2_99_1_10_1"/>
    <protectedRange sqref="E136" name="Range2_99_1_1_2_1"/>
    <protectedRange sqref="E171" name="Range2_99_17_5"/>
    <protectedRange sqref="E685" name="Range2_99_1_6_1_1_2_1"/>
    <protectedRange sqref="E176" name="Range2_99_1_4_1"/>
    <protectedRange sqref="E177" name="Range2_99_1_4_2"/>
    <protectedRange sqref="E178" name="Range2_99_1_2_2_1"/>
    <protectedRange sqref="E179" name="Range2_99_5_1_2"/>
    <protectedRange sqref="E182" name="Range2_99_17_1_1"/>
    <protectedRange sqref="E955" name="Range2_99_6_2_1"/>
    <protectedRange sqref="E181" name="Range2_99_1_12_1"/>
    <protectedRange sqref="E184" name="Range2_99_23_1"/>
    <protectedRange sqref="E185" name="Range2_99_22_1_2"/>
    <protectedRange sqref="E186" name="Range2_99_22_2"/>
    <protectedRange sqref="E187" name="Range2_99_22_3"/>
    <protectedRange sqref="E189" name="Range2_99_21_1"/>
    <protectedRange sqref="E691" name="Range2_99_18_1_3_1"/>
    <protectedRange sqref="E191" name="Range2_99_23_2"/>
    <protectedRange sqref="E192" name="Range2_99_24_1"/>
    <protectedRange sqref="E193" name="Range2_99_24_2"/>
    <protectedRange sqref="E160" name="Range2_99_18_7"/>
    <protectedRange sqref="E166" name="Range2_99_28_1_1"/>
    <protectedRange sqref="E843 E950 E52 E944:E946 E882 E937 E953:E954 E961 E832 E928:E934 E939:E942 E957:E959" name="Range2_99_1_6"/>
    <protectedRange sqref="E948" name="Range2_99_14_3"/>
    <protectedRange sqref="E757 E655:E656 E638 E564 E641:E642 E632:E634 E653 E630 E658 E660 E735" name="Range2_99_1_1_9"/>
    <protectedRange sqref="E640" name="Range2_99_1_22_1_6"/>
    <protectedRange sqref="E676:E677 E689:E690 E270 E699 E667:E668 E673:E674 E736 E670:E671 E692:E693" name="Range2_99_1_5"/>
    <protectedRange sqref="E682" name="Range2_99_1_1_2_4"/>
    <protectedRange sqref="E687" name="Range2_99_1_2_4"/>
    <protectedRange sqref="E305 E295 E146 E839 E328 E72 E321 E316:E317 E312" name="Range2_99_1_9"/>
    <protectedRange sqref="E327" name="Range2_75_2_2"/>
    <protectedRange sqref="E329" name="Range2_6_2_2"/>
    <protectedRange sqref="E81" name="Range2_8_2_2"/>
    <protectedRange sqref="E311" name="Range2_99_4_3_2"/>
    <protectedRange sqref="E302" name="Range2_99_6_3_2"/>
    <protectedRange sqref="E320 E751" name="Range2_99_10_3_2"/>
    <protectedRange sqref="E298" name="Range2_99_1_2_3_3"/>
    <protectedRange sqref="E306" name="Range2_99_22_1_1_2_3"/>
    <protectedRange sqref="E301" name="Range2_99_23_1_1_2_3"/>
    <protectedRange sqref="E467 E50 E489 E480:E481 E487" name="Range2_99_1"/>
    <protectedRange sqref="E3:E4 H88 E15:E16 E70 E102:E103 E67:E68 E12 E90:E91 E10 E53:E54 E76:E77 E62" name="Range2_99_1_3"/>
    <protectedRange sqref="E175" name="Range2_78"/>
    <protectedRange sqref="E51" name="Range2_82"/>
    <protectedRange sqref="E814 E545 E840:E841 E845:E849 E87 E816:E820" name="Range2_99_1_4"/>
    <protectedRange sqref="E369" name="Range2_99_1_7"/>
    <protectedRange sqref="E382" name="Range2_99_1_2_3_1_1"/>
    <protectedRange sqref="E385" name="Range2_99_1_23_2"/>
    <protectedRange sqref="E389" name="Range2_99_1_13_2"/>
    <protectedRange sqref="E731" name="Range2_99_1_1_4"/>
    <protectedRange sqref="E878 E880" name="Range2_99_1_8"/>
    <protectedRange sqref="E879" name="Range2_99_17"/>
    <protectedRange sqref="E853" name="Range2_99_10_3"/>
    <protectedRange sqref="E860" name="Range2_38_1"/>
    <protectedRange sqref="E862" name="Range2_99_1_21"/>
    <protectedRange sqref="E876" name="Range2_2"/>
    <protectedRange sqref="E865" name="Range2_99_10_1_1_1"/>
    <protectedRange sqref="E885" name="Range2_99_1_11_1_1_1"/>
    <protectedRange sqref="E886 E888" name="Range2_99_18_1_1"/>
    <protectedRange sqref="E168 E210:E211 E264 E224 E240 E231 E259 E875 E198:E199 E228:E229 E262 E226 E267 E303" name="Range2_99_1_2_2"/>
    <protectedRange sqref="E293" name="Range2_99_1_3_3"/>
    <protectedRange sqref="E232" name="Range2_99_14_2"/>
    <protectedRange sqref="E247" name="Range2_99_1_23_3"/>
    <protectedRange sqref="E200" name="Range2_99_1_4_1_1_1"/>
    <protectedRange sqref="E202 E108" name="Range2_99_1_6_2_1_1"/>
    <protectedRange sqref="E219" name="Range2_99_1_8_1_1_1"/>
    <protectedRange sqref="E203" name="Range2_99_1_9_1_1_1"/>
    <protectedRange sqref="E249" name="Range2_99_8_1_1_1_1"/>
    <protectedRange sqref="E234" name="Range2_99_1_10_1_1_1"/>
    <protectedRange sqref="E238:E239" name="Range2_99_5_1_1_1"/>
    <protectedRange sqref="E251:E253" name="Range2_99_6_2_1_1"/>
    <protectedRange sqref="E220" name="Range2_99_10_2_1_1"/>
    <protectedRange sqref="E207:E209" name="Range2_99_1_14_1_1"/>
    <protectedRange sqref="E254" name="Range2_99_1_16_1_1"/>
    <protectedRange sqref="E225" name="Range2_99_22_1_1"/>
    <protectedRange sqref="E288" name="Range2_99_22_1_1_3"/>
    <protectedRange sqref="E213" name="Range2_99_23_1_1_1"/>
    <protectedRange sqref="E261" name="Range2_99_23_1_1_2"/>
    <protectedRange sqref="E215:E216" name="Range2_99_23_1_1_4"/>
    <protectedRange sqref="E214" name="Range2_99_24_1_1_1"/>
    <protectedRange sqref="E241" name="Range2_99_22_1_3"/>
    <protectedRange sqref="E781 E809:E811 E804 E652 E637 E404 E801 E799 E807" name="Range2_99_1_10"/>
    <protectedRange sqref="E390" name="Range2_99_1_4_3"/>
    <protectedRange sqref="E649" name="Range2_99_1_2_5_1"/>
    <protectedRange sqref="E780" name="Range2_53"/>
    <protectedRange sqref="E787" name="Range2_99_2"/>
    <protectedRange sqref="E586" name="Range2_99_2_1"/>
    <protectedRange sqref="E783" name="Range2_99_4"/>
    <protectedRange sqref="E784:E785" name="Range2_99_5"/>
    <protectedRange sqref="E788" name="Range2_99_6"/>
    <protectedRange sqref="E789" name="Range2_99_7"/>
    <protectedRange sqref="E790" name="Range2_99_3"/>
    <protectedRange sqref="E791" name="Range2_99_9"/>
    <protectedRange sqref="E792" name="Range2_99_10"/>
    <protectedRange sqref="E793" name="Range2_99_11"/>
    <protectedRange sqref="E794" name="Range2_99_12"/>
    <protectedRange sqref="E808" name="Range2_99_2_2"/>
    <protectedRange sqref="E45" name="Range2_99_1_11"/>
    <protectedRange sqref="E907" name="Range2_99_1_18_1_3"/>
    <protectedRange sqref="E92" name="Range2_99_1_19_1_3"/>
    <protectedRange sqref="E911:E912" name="Range2_99_2_1_1_3"/>
    <protectedRange sqref="E893" name="Range2_99_1_1_1_1_1_3"/>
    <protectedRange sqref="E895" name="Range2_99_4_2_1_3"/>
    <protectedRange sqref="E49 E906 E908 E119 E915 E899" name="Range2_99_12_1_3"/>
    <protectedRange sqref="E921 E900:E901 E919 E903:E904" name="Range2_99_1_20_3"/>
    <protectedRange sqref="E923" name="Range2_99_3_2_3"/>
    <protectedRange sqref="E924" name="Range2_99_9_1_3"/>
    <protectedRange sqref="E922" name="Range2_3_2_3"/>
    <protectedRange sqref="E902" name="Range2_99_1_2_4_1_3"/>
    <protectedRange sqref="E167" name="Range2_99_1_2"/>
    <protectedRange sqref="E541 E684" name="Range2_99_1_13"/>
    <protectedRange sqref="E482" name="Range2_99_25_1"/>
    <protectedRange sqref="E795" name="Range2_99_1_2_1_1"/>
    <protectedRange sqref="E768" name="Range2_99_1_1_9_2"/>
    <protectedRange sqref="E916:E917" name="Range2_99_1_2_5_2_1"/>
    <protectedRange sqref="E612" name="Range2_99_1_5_3"/>
    <protectedRange sqref="E786" name="Range2_99_1_1_9_3"/>
    <protectedRange sqref="E822" name="Range2_99_1_4_4"/>
    <protectedRange sqref="E821" name="Range2_99_1_4_5"/>
  </protectedRanges>
  <mergeCells count="9">
    <mergeCell ref="A432:A435"/>
    <mergeCell ref="B1:C1"/>
    <mergeCell ref="B249:B250"/>
    <mergeCell ref="B251:B253"/>
    <mergeCell ref="A134:A136"/>
    <mergeCell ref="A166:A168"/>
    <mergeCell ref="A180:A181"/>
    <mergeCell ref="B145:B147"/>
    <mergeCell ref="B159:B160"/>
  </mergeCells>
  <phoneticPr fontId="7" type="noConversion"/>
  <conditionalFormatting sqref="E107">
    <cfRule type="duplicateValues" dxfId="3" priority="3086"/>
  </conditionalFormatting>
  <conditionalFormatting sqref="E909">
    <cfRule type="duplicateValues" dxfId="2" priority="100" stopIfTrue="1"/>
    <cfRule type="duplicateValues" dxfId="1" priority="102" stopIfTrue="1"/>
  </conditionalFormatting>
  <conditionalFormatting sqref="K411">
    <cfRule type="duplicateValues" dxfId="0" priority="891"/>
  </conditionalFormatting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2"/>
  <sheetViews>
    <sheetView topLeftCell="A127" zoomScaleNormal="100" workbookViewId="0">
      <selection activeCell="A2" sqref="A2:H2"/>
    </sheetView>
  </sheetViews>
  <sheetFormatPr defaultRowHeight="15"/>
  <cols>
    <col min="1" max="1" width="47.42578125" customWidth="1"/>
    <col min="2" max="2" width="21.140625" customWidth="1"/>
    <col min="3" max="3" width="19" customWidth="1"/>
    <col min="6" max="6" width="14" customWidth="1"/>
    <col min="7" max="7" width="16.28515625" customWidth="1"/>
    <col min="8" max="8" width="36.85546875" customWidth="1"/>
  </cols>
  <sheetData>
    <row r="1" spans="1:8">
      <c r="A1" s="509" t="s">
        <v>1975</v>
      </c>
      <c r="B1" s="509"/>
      <c r="C1" s="509"/>
      <c r="D1" s="509"/>
      <c r="E1" s="509"/>
      <c r="F1" s="509"/>
      <c r="G1" s="509"/>
    </row>
    <row r="2" spans="1:8" ht="24.95" customHeight="1">
      <c r="A2" s="332" t="str">
        <f>[5]Sheet1!B2</f>
        <v xml:space="preserve">POSITION TITLE </v>
      </c>
      <c r="B2" s="332" t="str">
        <f>[5]Sheet1!C2</f>
        <v>SALARY SCALE</v>
      </c>
      <c r="C2" s="332" t="str">
        <f>[5]Sheet1!D2</f>
        <v>APP</v>
      </c>
      <c r="D2" s="332" t="str">
        <f>[5]Sheet1!E2</f>
        <v>FILLED</v>
      </c>
      <c r="E2" s="332" t="str">
        <f>[5]Sheet1!F2</f>
        <v>VACANT</v>
      </c>
      <c r="F2" s="332" t="str">
        <f>[5]Sheet1!G2</f>
        <v xml:space="preserve">OLD SALARY </v>
      </c>
      <c r="G2" s="332" t="str">
        <f>[5]Sheet1!H2</f>
        <v xml:space="preserve">NEW SALARY </v>
      </c>
      <c r="H2" s="332" t="str">
        <f>[5]Sheet1!I2</f>
        <v xml:space="preserve">REMARK </v>
      </c>
    </row>
    <row r="3" spans="1:8" ht="24.95" customHeight="1">
      <c r="A3" s="1" t="str">
        <f>[5]Sheet1!B3</f>
        <v xml:space="preserve">Director General </v>
      </c>
      <c r="B3" s="1" t="str">
        <f>[5]Sheet1!C3</f>
        <v>UR 1(i)</v>
      </c>
      <c r="C3" s="1">
        <f>[5]Sheet1!D3</f>
        <v>1</v>
      </c>
      <c r="D3" s="1">
        <f>[5]Sheet1!E3</f>
        <v>1</v>
      </c>
      <c r="E3" s="1">
        <f>(C3-D3)</f>
        <v>0</v>
      </c>
      <c r="F3" s="339">
        <f>[5]Sheet1!G3</f>
        <v>20000000</v>
      </c>
      <c r="G3" s="339">
        <f>[5]Sheet1!H3</f>
        <v>20000000</v>
      </c>
      <c r="H3" s="1"/>
    </row>
    <row r="4" spans="1:8" ht="24.95" customHeight="1">
      <c r="A4" s="1" t="str">
        <f>[5]Sheet1!B4</f>
        <v>Deputy Director General</v>
      </c>
      <c r="B4" s="1" t="str">
        <f>[5]Sheet1!C4</f>
        <v>UR 1(ii)</v>
      </c>
      <c r="C4" s="1">
        <f>[5]Sheet1!D4</f>
        <v>2</v>
      </c>
      <c r="D4" s="1">
        <f>[5]Sheet1!E4</f>
        <v>2</v>
      </c>
      <c r="E4" s="1">
        <f t="shared" ref="E4:E67" si="0">(C4-D4)</f>
        <v>0</v>
      </c>
      <c r="F4" s="339">
        <f>[5]Sheet1!G4</f>
        <v>16900000</v>
      </c>
      <c r="G4" s="339">
        <f>[5]Sheet1!H4</f>
        <v>16900000</v>
      </c>
      <c r="H4" s="1"/>
    </row>
    <row r="5" spans="1:8" ht="24.95" customHeight="1">
      <c r="A5" s="1" t="str">
        <f>[5]Sheet1!B5</f>
        <v>Director</v>
      </c>
      <c r="B5" s="1" t="str">
        <f>[5]Sheet1!C5</f>
        <v>UR 2(i)</v>
      </c>
      <c r="C5" s="1">
        <f>[5]Sheet1!D5</f>
        <v>19</v>
      </c>
      <c r="D5" s="1">
        <f>[5]Sheet1!E5</f>
        <v>19</v>
      </c>
      <c r="E5" s="1">
        <f t="shared" si="0"/>
        <v>0</v>
      </c>
      <c r="F5" s="339">
        <f>[5]Sheet1!G5</f>
        <v>14000000</v>
      </c>
      <c r="G5" s="339">
        <f>[5]Sheet1!H5</f>
        <v>14000000</v>
      </c>
      <c r="H5" s="1"/>
    </row>
    <row r="6" spans="1:8" ht="24.95" customHeight="1">
      <c r="A6" s="1" t="str">
        <f>[5]Sheet1!B6</f>
        <v>Senior Principal Grants Officer</v>
      </c>
      <c r="B6" s="1" t="str">
        <f>[5]Sheet1!C6</f>
        <v>UR 2(ii)RS</v>
      </c>
      <c r="C6" s="1">
        <f>[5]Sheet1!D6</f>
        <v>1</v>
      </c>
      <c r="D6" s="1">
        <f>[5]Sheet1!E6</f>
        <v>1</v>
      </c>
      <c r="E6" s="1">
        <f t="shared" si="0"/>
        <v>0</v>
      </c>
      <c r="F6" s="339">
        <f>[5]Sheet1!G6</f>
        <v>10600000</v>
      </c>
      <c r="G6" s="339">
        <f>[5]Sheet1!H6</f>
        <v>10600000</v>
      </c>
      <c r="H6" s="1"/>
    </row>
    <row r="7" spans="1:8" ht="24.95" customHeight="1">
      <c r="A7" s="1" t="str">
        <f>[5]Sheet1!B7</f>
        <v>Senior Principal Research Officer</v>
      </c>
      <c r="B7" s="1" t="str">
        <f>[5]Sheet1!C7</f>
        <v>UR 2(ii)RS</v>
      </c>
      <c r="C7" s="1">
        <v>34</v>
      </c>
      <c r="D7" s="1">
        <v>12</v>
      </c>
      <c r="E7" s="1">
        <f t="shared" si="0"/>
        <v>22</v>
      </c>
      <c r="F7" s="339">
        <f>[5]Sheet1!G7</f>
        <v>10600000</v>
      </c>
      <c r="G7" s="339">
        <f>[5]Sheet1!H7</f>
        <v>10600000</v>
      </c>
      <c r="H7" s="1"/>
    </row>
    <row r="8" spans="1:8" ht="24.95" customHeight="1">
      <c r="A8" s="1" t="str">
        <f>[5]Sheet1!B8</f>
        <v>Senior Principal Technology Promotion Officer</v>
      </c>
      <c r="B8" s="1" t="str">
        <f>[5]Sheet1!C8</f>
        <v>UR 2(ii)RS</v>
      </c>
      <c r="C8" s="1">
        <f>[5]Sheet1!D8</f>
        <v>1</v>
      </c>
      <c r="D8" s="1">
        <f>[5]Sheet1!E8</f>
        <v>0</v>
      </c>
      <c r="E8" s="1">
        <f t="shared" si="0"/>
        <v>1</v>
      </c>
      <c r="F8" s="339">
        <f>[5]Sheet1!G8</f>
        <v>10600000</v>
      </c>
      <c r="G8" s="339">
        <f>[5]Sheet1!H8</f>
        <v>10600000</v>
      </c>
      <c r="H8" s="1"/>
    </row>
    <row r="9" spans="1:8" ht="24.95" customHeight="1">
      <c r="A9" s="1" t="str">
        <f>[5]Sheet1!B9</f>
        <v>Senior Principal Research Officer-Production&amp; Documentation</v>
      </c>
      <c r="B9" s="1" t="str">
        <f>[5]Sheet1!C9</f>
        <v>UR 2(ii)RS</v>
      </c>
      <c r="C9" s="1">
        <f>[5]Sheet1!D9</f>
        <v>1</v>
      </c>
      <c r="D9" s="1">
        <f>[5]Sheet1!E9</f>
        <v>0</v>
      </c>
      <c r="E9" s="1">
        <f t="shared" si="0"/>
        <v>1</v>
      </c>
      <c r="F9" s="339">
        <f>[5]Sheet1!G9</f>
        <v>10600000</v>
      </c>
      <c r="G9" s="339">
        <f>[5]Sheet1!H9</f>
        <v>10600000</v>
      </c>
      <c r="H9" s="1"/>
    </row>
    <row r="10" spans="1:8" ht="24.95" customHeight="1">
      <c r="A10" s="1" t="str">
        <f>[5]Sheet1!B10</f>
        <v>Senior Principal Research Officer-Air Quality Control</v>
      </c>
      <c r="B10" s="1" t="str">
        <f>[5]Sheet1!C10</f>
        <v>UR 2(ii)RS</v>
      </c>
      <c r="C10" s="1">
        <f>[5]Sheet1!D10</f>
        <v>1</v>
      </c>
      <c r="D10" s="1">
        <f>[5]Sheet1!E10</f>
        <v>0</v>
      </c>
      <c r="E10" s="1">
        <f t="shared" si="0"/>
        <v>1</v>
      </c>
      <c r="F10" s="339">
        <f>[5]Sheet1!G10</f>
        <v>10600000</v>
      </c>
      <c r="G10" s="339">
        <f>[5]Sheet1!H10</f>
        <v>10600000</v>
      </c>
      <c r="H10" s="1"/>
    </row>
    <row r="11" spans="1:8" ht="24.95" customHeight="1">
      <c r="A11" s="1" t="str">
        <f>[5]Sheet1!B11</f>
        <v>Principal Artificial Intelligence Officer</v>
      </c>
      <c r="B11" s="1" t="str">
        <f>[5]Sheet1!C11</f>
        <v>UR 3RS</v>
      </c>
      <c r="C11" s="1">
        <f>[5]Sheet1!D11</f>
        <v>1</v>
      </c>
      <c r="D11" s="1">
        <f>[5]Sheet1!E11</f>
        <v>0</v>
      </c>
      <c r="E11" s="1">
        <f t="shared" si="0"/>
        <v>1</v>
      </c>
      <c r="F11" s="339">
        <f>[5]Sheet1!G11</f>
        <v>7500000</v>
      </c>
      <c r="G11" s="339">
        <f>[5]Sheet1!H11</f>
        <v>8500000</v>
      </c>
      <c r="H11" s="1" t="str">
        <f>[5]Sheet1!I11</f>
        <v xml:space="preserve">New position </v>
      </c>
    </row>
    <row r="12" spans="1:8" ht="24.95" customHeight="1">
      <c r="A12" s="1" t="str">
        <f>[5]Sheet1!B12</f>
        <v>Principal Civil Engineer</v>
      </c>
      <c r="B12" s="1" t="str">
        <f>[5]Sheet1!C12</f>
        <v>UR 3RS</v>
      </c>
      <c r="C12" s="1">
        <f>[5]Sheet1!D12</f>
        <v>1</v>
      </c>
      <c r="D12" s="1">
        <f>[5]Sheet1!E12</f>
        <v>1</v>
      </c>
      <c r="E12" s="1">
        <f t="shared" si="0"/>
        <v>0</v>
      </c>
      <c r="F12" s="339">
        <f>[5]Sheet1!G12</f>
        <v>7500000</v>
      </c>
      <c r="G12" s="339">
        <f>[5]Sheet1!H12</f>
        <v>8500000</v>
      </c>
      <c r="H12" s="1" t="str">
        <f>[5]Sheet1!I12</f>
        <v>Change in salary</v>
      </c>
    </row>
    <row r="13" spans="1:8" ht="24.95" customHeight="1">
      <c r="A13" s="1" t="str">
        <f>[5]Sheet1!B13</f>
        <v>Principal Information Technology Officer</v>
      </c>
      <c r="B13" s="1" t="str">
        <f>[5]Sheet1!C13</f>
        <v>UR 3RS</v>
      </c>
      <c r="C13" s="1">
        <f>[5]Sheet1!D13</f>
        <v>1</v>
      </c>
      <c r="D13" s="1">
        <f>[5]Sheet1!E13</f>
        <v>0</v>
      </c>
      <c r="E13" s="1">
        <f t="shared" si="0"/>
        <v>1</v>
      </c>
      <c r="F13" s="339">
        <f>[5]Sheet1!G13</f>
        <v>7500000</v>
      </c>
      <c r="G13" s="339">
        <f>[5]Sheet1!H13</f>
        <v>8500000</v>
      </c>
      <c r="H13" s="1" t="str">
        <f>[5]Sheet1!I13</f>
        <v>Change in salary</v>
      </c>
    </row>
    <row r="14" spans="1:8" ht="24.95" customHeight="1">
      <c r="A14" s="1" t="str">
        <f>[5]Sheet1!B14</f>
        <v>Principal Grants Officer</v>
      </c>
      <c r="B14" s="1" t="str">
        <f>[5]Sheet1!C14</f>
        <v>UR 3RS</v>
      </c>
      <c r="C14" s="1">
        <f>[5]Sheet1!D14</f>
        <v>1</v>
      </c>
      <c r="D14" s="1">
        <f>[5]Sheet1!E14</f>
        <v>1</v>
      </c>
      <c r="E14" s="1">
        <f t="shared" si="0"/>
        <v>0</v>
      </c>
      <c r="F14" s="339">
        <f>[5]Sheet1!G14</f>
        <v>7500000</v>
      </c>
      <c r="G14" s="339">
        <f>[5]Sheet1!H14</f>
        <v>8500000</v>
      </c>
      <c r="H14" s="1" t="str">
        <f>[5]Sheet1!I14</f>
        <v>Change in salary</v>
      </c>
    </row>
    <row r="15" spans="1:8" ht="24.95" customHeight="1">
      <c r="A15" s="1" t="str">
        <f>[5]Sheet1!B15</f>
        <v>Principal Monitoring and Evaluation Officer</v>
      </c>
      <c r="B15" s="1" t="str">
        <f>[5]Sheet1!C15</f>
        <v>UR 3RS</v>
      </c>
      <c r="C15" s="1">
        <f>[5]Sheet1!D15</f>
        <v>1</v>
      </c>
      <c r="D15" s="1">
        <f>[5]Sheet1!E15</f>
        <v>1</v>
      </c>
      <c r="E15" s="1">
        <f t="shared" si="0"/>
        <v>0</v>
      </c>
      <c r="F15" s="339">
        <f>[5]Sheet1!G15</f>
        <v>7500000</v>
      </c>
      <c r="G15" s="339">
        <f>[5]Sheet1!H15</f>
        <v>8500000</v>
      </c>
      <c r="H15" s="1" t="str">
        <f>[5]Sheet1!I15</f>
        <v>Change in salary</v>
      </c>
    </row>
    <row r="16" spans="1:8" ht="24.95" customHeight="1">
      <c r="A16" s="1" t="str">
        <f>[5]Sheet1!B16</f>
        <v>Principal Planning Officer</v>
      </c>
      <c r="B16" s="1" t="str">
        <f>[5]Sheet1!C16</f>
        <v>UR 3RS</v>
      </c>
      <c r="C16" s="1">
        <f>[5]Sheet1!D16</f>
        <v>1</v>
      </c>
      <c r="D16" s="1">
        <f>[5]Sheet1!E16</f>
        <v>1</v>
      </c>
      <c r="E16" s="1">
        <f t="shared" si="0"/>
        <v>0</v>
      </c>
      <c r="F16" s="339">
        <f>[5]Sheet1!G16</f>
        <v>7500000</v>
      </c>
      <c r="G16" s="339">
        <f>[5]Sheet1!H16</f>
        <v>8500000</v>
      </c>
      <c r="H16" s="1" t="str">
        <f>[5]Sheet1!I16</f>
        <v>Change in salary</v>
      </c>
    </row>
    <row r="17" spans="1:8" ht="24.95" customHeight="1">
      <c r="A17" s="1" t="str">
        <f>[5]Sheet1!B17</f>
        <v>Principal Quality Assurance and Compliance Officer</v>
      </c>
      <c r="B17" s="1" t="str">
        <f>[5]Sheet1!C17</f>
        <v>UR 3RS</v>
      </c>
      <c r="C17" s="1">
        <f>[5]Sheet1!D17</f>
        <v>1</v>
      </c>
      <c r="D17" s="1">
        <f>[5]Sheet1!E17</f>
        <v>0</v>
      </c>
      <c r="E17" s="1">
        <f t="shared" si="0"/>
        <v>1</v>
      </c>
      <c r="F17" s="339">
        <f>[5]Sheet1!G17</f>
        <v>7500000</v>
      </c>
      <c r="G17" s="339">
        <f>[5]Sheet1!H17</f>
        <v>8500000</v>
      </c>
      <c r="H17" s="1" t="str">
        <f>[5]Sheet1!I17</f>
        <v>Change in salary</v>
      </c>
    </row>
    <row r="18" spans="1:8" ht="24.95" customHeight="1">
      <c r="A18" s="1" t="str">
        <f>[5]Sheet1!B18</f>
        <v>Principal Research Officer</v>
      </c>
      <c r="B18" s="1" t="str">
        <f>[5]Sheet1!C18</f>
        <v>UR 3RS</v>
      </c>
      <c r="C18" s="1">
        <f>[5]Sheet1!D18</f>
        <v>50</v>
      </c>
      <c r="D18" s="1">
        <f>[5]Sheet1!E18</f>
        <v>31</v>
      </c>
      <c r="E18" s="1">
        <f t="shared" si="0"/>
        <v>19</v>
      </c>
      <c r="F18" s="339">
        <f>[5]Sheet1!G18</f>
        <v>7500000</v>
      </c>
      <c r="G18" s="339">
        <f>[5]Sheet1!H18</f>
        <v>8500000</v>
      </c>
      <c r="H18" s="1" t="str">
        <f>[5]Sheet1!I18</f>
        <v>Change in salary</v>
      </c>
    </row>
    <row r="19" spans="1:8" ht="24.95" customHeight="1">
      <c r="A19" s="1" t="str">
        <f>[5]Sheet1!B19</f>
        <v xml:space="preserve">Principal Surveyor </v>
      </c>
      <c r="B19" s="1" t="str">
        <f>[5]Sheet1!C19</f>
        <v>UR 3RS</v>
      </c>
      <c r="C19" s="1">
        <f>[5]Sheet1!D19</f>
        <v>1</v>
      </c>
      <c r="D19" s="1">
        <f>[5]Sheet1!E19</f>
        <v>1</v>
      </c>
      <c r="E19" s="1">
        <f t="shared" si="0"/>
        <v>0</v>
      </c>
      <c r="F19" s="339">
        <f>[5]Sheet1!G19</f>
        <v>7500000</v>
      </c>
      <c r="G19" s="339">
        <f>[5]Sheet1!H19</f>
        <v>8500000</v>
      </c>
      <c r="H19" s="1" t="str">
        <f>[5]Sheet1!I19</f>
        <v xml:space="preserve">changed Salary&amp; nomenclature </v>
      </c>
    </row>
    <row r="20" spans="1:8" ht="24.95" customHeight="1">
      <c r="A20" s="1" t="str">
        <f>[5]Sheet1!B20</f>
        <v xml:space="preserve">Principal Technology Promotion Officer </v>
      </c>
      <c r="B20" s="1" t="str">
        <f>[5]Sheet1!C20</f>
        <v>UR 3RS</v>
      </c>
      <c r="C20" s="1">
        <f>[5]Sheet1!D20</f>
        <v>1</v>
      </c>
      <c r="D20" s="1">
        <f>[5]Sheet1!E20</f>
        <v>1</v>
      </c>
      <c r="E20" s="1">
        <f t="shared" si="0"/>
        <v>0</v>
      </c>
      <c r="F20" s="339">
        <f>[5]Sheet1!G20</f>
        <v>7500000</v>
      </c>
      <c r="G20" s="339">
        <f>[5]Sheet1!H20</f>
        <v>8500000</v>
      </c>
      <c r="H20" s="1" t="str">
        <f>[5]Sheet1!I20</f>
        <v>Change in salary</v>
      </c>
    </row>
    <row r="21" spans="1:8" ht="24.95" customHeight="1">
      <c r="A21" s="1" t="str">
        <f>[5]Sheet1!B21</f>
        <v>Principal Technology Promotion Officer Transfer</v>
      </c>
      <c r="B21" s="1" t="str">
        <f>[5]Sheet1!C21</f>
        <v>UR 3RS</v>
      </c>
      <c r="C21" s="1">
        <f>[5]Sheet1!D21</f>
        <v>1</v>
      </c>
      <c r="D21" s="1">
        <f>[5]Sheet1!E21</f>
        <v>0</v>
      </c>
      <c r="E21" s="1">
        <f t="shared" si="0"/>
        <v>1</v>
      </c>
      <c r="F21" s="339">
        <f>[5]Sheet1!G21</f>
        <v>7500000</v>
      </c>
      <c r="G21" s="339">
        <f>[5]Sheet1!H21</f>
        <v>8500000</v>
      </c>
      <c r="H21" s="1" t="str">
        <f>[5]Sheet1!I21</f>
        <v xml:space="preserve">New position &amp; changed salary </v>
      </c>
    </row>
    <row r="22" spans="1:8" ht="24.95" customHeight="1">
      <c r="A22" s="1" t="str">
        <f>[5]Sheet1!B22</f>
        <v>Principal Research Officer- M&amp;E</v>
      </c>
      <c r="B22" s="1" t="str">
        <f>[5]Sheet1!C22</f>
        <v>UR 3RS</v>
      </c>
      <c r="C22" s="1">
        <f>[5]Sheet1!D22</f>
        <v>1</v>
      </c>
      <c r="D22" s="1">
        <f>[5]Sheet1!E22</f>
        <v>0</v>
      </c>
      <c r="E22" s="1">
        <f t="shared" si="0"/>
        <v>1</v>
      </c>
      <c r="F22" s="339">
        <f>[5]Sheet1!G22</f>
        <v>7500000</v>
      </c>
      <c r="G22" s="339">
        <f>[5]Sheet1!H22</f>
        <v>8500000</v>
      </c>
      <c r="H22" s="1" t="str">
        <f>[5]Sheet1!I22</f>
        <v xml:space="preserve">New position &amp; changed salary </v>
      </c>
    </row>
    <row r="23" spans="1:8" ht="24.95" customHeight="1">
      <c r="A23" s="1" t="str">
        <f>[5]Sheet1!B23</f>
        <v>Principal Research Officer-Building Management Systems</v>
      </c>
      <c r="B23" s="1" t="str">
        <f>[5]Sheet1!C23</f>
        <v>UR 3RS</v>
      </c>
      <c r="C23" s="1">
        <f>[5]Sheet1!D23</f>
        <v>1</v>
      </c>
      <c r="D23" s="1">
        <f>[5]Sheet1!E23</f>
        <v>0</v>
      </c>
      <c r="E23" s="1">
        <f t="shared" si="0"/>
        <v>1</v>
      </c>
      <c r="F23" s="339">
        <f>[5]Sheet1!G23</f>
        <v>7500000</v>
      </c>
      <c r="G23" s="339">
        <f>[5]Sheet1!H23</f>
        <v>8500000</v>
      </c>
      <c r="H23" s="1" t="str">
        <f>[5]Sheet1!I23</f>
        <v xml:space="preserve">New position &amp; changed salary </v>
      </c>
    </row>
    <row r="24" spans="1:8" ht="24.95" customHeight="1">
      <c r="A24" s="1" t="str">
        <f>[5]Sheet1!B24</f>
        <v>Principal  Administrative  Assistant G.I</v>
      </c>
      <c r="B24" s="1" t="str">
        <f>[5]Sheet1!C24</f>
        <v>UR 3Admin</v>
      </c>
      <c r="C24" s="1">
        <f>[5]Sheet1!D24</f>
        <v>1</v>
      </c>
      <c r="D24" s="1">
        <f>[5]Sheet1!E24</f>
        <v>1</v>
      </c>
      <c r="E24" s="1">
        <f t="shared" si="0"/>
        <v>0</v>
      </c>
      <c r="F24" s="339">
        <f>[5]Sheet1!G24</f>
        <v>6600000</v>
      </c>
      <c r="G24" s="339">
        <f>[5]Sheet1!H24</f>
        <v>6600000</v>
      </c>
      <c r="H24" s="1"/>
    </row>
    <row r="25" spans="1:8" ht="24.95" customHeight="1">
      <c r="A25" s="1" t="str">
        <f>[5]Sheet1!B25</f>
        <v>Principal Accountant</v>
      </c>
      <c r="B25" s="1" t="str">
        <f>[5]Sheet1!C25</f>
        <v>UR 3Admin</v>
      </c>
      <c r="C25" s="1">
        <f>[5]Sheet1!D25</f>
        <v>5</v>
      </c>
      <c r="D25" s="1">
        <f>[5]Sheet1!E25</f>
        <v>5</v>
      </c>
      <c r="E25" s="1">
        <f t="shared" si="0"/>
        <v>0</v>
      </c>
      <c r="F25" s="339">
        <f>[5]Sheet1!G25</f>
        <v>6600000</v>
      </c>
      <c r="G25" s="339">
        <f>[5]Sheet1!H25</f>
        <v>6600000</v>
      </c>
      <c r="H25" s="1"/>
    </row>
    <row r="26" spans="1:8" ht="24.95" customHeight="1">
      <c r="A26" s="1" t="str">
        <f>[5]Sheet1!B26</f>
        <v>Principal  Communication Officer</v>
      </c>
      <c r="B26" s="1" t="str">
        <f>[5]Sheet1!C26</f>
        <v>UR 3Admin</v>
      </c>
      <c r="C26" s="1">
        <f>[5]Sheet1!D26</f>
        <v>1</v>
      </c>
      <c r="D26" s="1">
        <f>[5]Sheet1!E26</f>
        <v>0</v>
      </c>
      <c r="E26" s="1">
        <f t="shared" si="0"/>
        <v>1</v>
      </c>
      <c r="F26" s="339">
        <f>[5]Sheet1!G26</f>
        <v>6600000</v>
      </c>
      <c r="G26" s="339">
        <f>[5]Sheet1!H26</f>
        <v>6600000</v>
      </c>
      <c r="H26" s="1" t="str">
        <f>[5]Sheet1!I26</f>
        <v xml:space="preserve">New position &amp; changed salary </v>
      </c>
    </row>
    <row r="27" spans="1:8" ht="24.95" customHeight="1">
      <c r="A27" s="1" t="str">
        <f>[5]Sheet1!B27</f>
        <v>Principal Human Resource Officer</v>
      </c>
      <c r="B27" s="1" t="str">
        <f>[5]Sheet1!C27</f>
        <v>UR 3Admin</v>
      </c>
      <c r="C27" s="1">
        <f>[5]Sheet1!D27</f>
        <v>3</v>
      </c>
      <c r="D27" s="1">
        <f>[5]Sheet1!E27</f>
        <v>3</v>
      </c>
      <c r="E27" s="1">
        <f t="shared" si="0"/>
        <v>0</v>
      </c>
      <c r="F27" s="339">
        <f>[5]Sheet1!G27</f>
        <v>6600000</v>
      </c>
      <c r="G27" s="339">
        <f>[5]Sheet1!H27</f>
        <v>6600000</v>
      </c>
      <c r="H27" s="1">
        <f>[5]Sheet1!I27</f>
        <v>0</v>
      </c>
    </row>
    <row r="28" spans="1:8" ht="24.95" customHeight="1">
      <c r="A28" s="1" t="str">
        <f>[5]Sheet1!B28</f>
        <v xml:space="preserve">Principal Human Resource &amp; Administrative Officer </v>
      </c>
      <c r="B28" s="1" t="str">
        <f>[5]Sheet1!C28</f>
        <v>UR 3Admin</v>
      </c>
      <c r="C28" s="1">
        <f>[5]Sheet1!D28</f>
        <v>3</v>
      </c>
      <c r="D28" s="1">
        <f>[5]Sheet1!E28</f>
        <v>3</v>
      </c>
      <c r="E28" s="1">
        <f t="shared" si="0"/>
        <v>0</v>
      </c>
      <c r="F28" s="339">
        <f>[5]Sheet1!G28</f>
        <v>6600000</v>
      </c>
      <c r="G28" s="339">
        <f>[5]Sheet1!H28</f>
        <v>6600000</v>
      </c>
      <c r="H28" s="1" t="str">
        <f>[5]Sheet1!I28</f>
        <v>Upgraded position</v>
      </c>
    </row>
    <row r="29" spans="1:8" ht="24.95" customHeight="1">
      <c r="A29" s="1" t="str">
        <f>[5]Sheet1!B29</f>
        <v>Principal Internal Auditor</v>
      </c>
      <c r="B29" s="1" t="str">
        <f>[5]Sheet1!C29</f>
        <v>UR 3Admin</v>
      </c>
      <c r="C29" s="1">
        <f>[5]Sheet1!D29</f>
        <v>4</v>
      </c>
      <c r="D29" s="1">
        <f>[5]Sheet1!E29</f>
        <v>4</v>
      </c>
      <c r="E29" s="1">
        <f t="shared" si="0"/>
        <v>0</v>
      </c>
      <c r="F29" s="339">
        <f>[5]Sheet1!G29</f>
        <v>6600000</v>
      </c>
      <c r="G29" s="339">
        <f>[5]Sheet1!H29</f>
        <v>6600000</v>
      </c>
      <c r="H29" s="1"/>
    </row>
    <row r="30" spans="1:8" ht="24.95" customHeight="1">
      <c r="A30" s="1" t="str">
        <f>[5]Sheet1!B30</f>
        <v>Principal Legal Officer</v>
      </c>
      <c r="B30" s="1" t="str">
        <f>[5]Sheet1!C30</f>
        <v>UR 3Admin</v>
      </c>
      <c r="C30" s="1">
        <f>[5]Sheet1!D30</f>
        <v>1</v>
      </c>
      <c r="D30" s="1">
        <f>[5]Sheet1!E30</f>
        <v>1</v>
      </c>
      <c r="E30" s="1">
        <f t="shared" si="0"/>
        <v>0</v>
      </c>
      <c r="F30" s="339">
        <f>[5]Sheet1!G30</f>
        <v>6600000</v>
      </c>
      <c r="G30" s="339">
        <f>[5]Sheet1!H30</f>
        <v>6600000</v>
      </c>
      <c r="H30" s="1" t="str">
        <f>[5]Sheet1!I30</f>
        <v xml:space="preserve">changed Salary&amp; nomenclature </v>
      </c>
    </row>
    <row r="31" spans="1:8" ht="24.95" customHeight="1">
      <c r="A31" s="1" t="str">
        <f>[5]Sheet1!B31</f>
        <v>Principal Procurement Officer</v>
      </c>
      <c r="B31" s="1" t="str">
        <f>[5]Sheet1!C31</f>
        <v>UR 3Admin</v>
      </c>
      <c r="C31" s="1">
        <f>[5]Sheet1!D31</f>
        <v>1</v>
      </c>
      <c r="D31" s="1">
        <f>[5]Sheet1!E31</f>
        <v>1</v>
      </c>
      <c r="E31" s="1">
        <f t="shared" si="0"/>
        <v>0</v>
      </c>
      <c r="F31" s="339">
        <f>[5]Sheet1!G31</f>
        <v>6600000</v>
      </c>
      <c r="G31" s="339">
        <f>[5]Sheet1!H31</f>
        <v>6600000</v>
      </c>
      <c r="H31" s="1"/>
    </row>
    <row r="32" spans="1:8" ht="24.95" customHeight="1">
      <c r="A32" s="1" t="str">
        <f>[5]Sheet1!B32</f>
        <v xml:space="preserve">Senior Environmental Social Safe Guard Officer </v>
      </c>
      <c r="B32" s="1" t="str">
        <f>[5]Sheet1!C32</f>
        <v>UR 4RS</v>
      </c>
      <c r="C32" s="1">
        <f>[5]Sheet1!D32</f>
        <v>1</v>
      </c>
      <c r="D32" s="1">
        <f>[5]Sheet1!E32</f>
        <v>1</v>
      </c>
      <c r="E32" s="1">
        <f t="shared" si="0"/>
        <v>0</v>
      </c>
      <c r="F32" s="339">
        <f>[5]Sheet1!G32</f>
        <v>6500000</v>
      </c>
      <c r="G32" s="339">
        <f>[5]Sheet1!H32</f>
        <v>7500000</v>
      </c>
      <c r="H32" s="1" t="str">
        <f>[5]Sheet1!I32</f>
        <v>Change in salary</v>
      </c>
    </row>
    <row r="33" spans="1:8" ht="24.95" customHeight="1">
      <c r="A33" s="1" t="str">
        <f>[5]Sheet1!B33</f>
        <v>Senior Biometrician</v>
      </c>
      <c r="B33" s="1" t="str">
        <f>[5]Sheet1!C33</f>
        <v>UR 4RS</v>
      </c>
      <c r="C33" s="1">
        <f>[5]Sheet1!D33</f>
        <v>1</v>
      </c>
      <c r="D33" s="1">
        <f>[5]Sheet1!E33</f>
        <v>0</v>
      </c>
      <c r="E33" s="1">
        <f t="shared" si="0"/>
        <v>1</v>
      </c>
      <c r="F33" s="339">
        <f>[5]Sheet1!G33</f>
        <v>6500000</v>
      </c>
      <c r="G33" s="339">
        <f>[5]Sheet1!H33</f>
        <v>7500000</v>
      </c>
      <c r="H33" s="1" t="str">
        <f>[5]Sheet1!I33</f>
        <v>Change in salary</v>
      </c>
    </row>
    <row r="34" spans="1:8" ht="24.95" customHeight="1">
      <c r="A34" s="1" t="str">
        <f>[5]Sheet1!B34</f>
        <v>Senior Risk Officer</v>
      </c>
      <c r="B34" s="1" t="str">
        <f>[5]Sheet1!C34</f>
        <v>UR 4RS</v>
      </c>
      <c r="C34" s="1">
        <f>[5]Sheet1!D34</f>
        <v>1</v>
      </c>
      <c r="D34" s="1">
        <f>[5]Sheet1!E34</f>
        <v>0</v>
      </c>
      <c r="E34" s="1">
        <f t="shared" si="0"/>
        <v>1</v>
      </c>
      <c r="F34" s="339">
        <f>[5]Sheet1!G34</f>
        <v>6500000</v>
      </c>
      <c r="G34" s="339">
        <f>[5]Sheet1!H34</f>
        <v>7500000</v>
      </c>
      <c r="H34" s="1" t="str">
        <f>[5]Sheet1!I34</f>
        <v>Nomenclature changed&amp; upgraded</v>
      </c>
    </row>
    <row r="35" spans="1:8" ht="24.95" customHeight="1">
      <c r="A35" s="1" t="str">
        <f>[5]Sheet1!B35</f>
        <v xml:space="preserve"> Senior Accreditation Officer</v>
      </c>
      <c r="B35" s="1" t="str">
        <f>[5]Sheet1!C35</f>
        <v>UR 4RS</v>
      </c>
      <c r="C35" s="1">
        <f>[5]Sheet1!D35</f>
        <v>1</v>
      </c>
      <c r="D35" s="1">
        <f>[5]Sheet1!E35</f>
        <v>0</v>
      </c>
      <c r="E35" s="1">
        <f t="shared" si="0"/>
        <v>1</v>
      </c>
      <c r="F35" s="339">
        <f>[5]Sheet1!G35</f>
        <v>6500000</v>
      </c>
      <c r="G35" s="339">
        <f>[5]Sheet1!H35</f>
        <v>7500000</v>
      </c>
      <c r="H35" s="1" t="str">
        <f>[5]Sheet1!I35</f>
        <v>Change in salary</v>
      </c>
    </row>
    <row r="36" spans="1:8" ht="24.95" customHeight="1">
      <c r="A36" s="1" t="str">
        <f>[5]Sheet1!B36</f>
        <v xml:space="preserve">Senior Research Officer- Grants </v>
      </c>
      <c r="B36" s="1" t="str">
        <f>[5]Sheet1!C36</f>
        <v>UR 4RS</v>
      </c>
      <c r="C36" s="1">
        <f>[5]Sheet1!D36</f>
        <v>1</v>
      </c>
      <c r="D36" s="1">
        <f>[5]Sheet1!E36</f>
        <v>0</v>
      </c>
      <c r="E36" s="1">
        <f t="shared" si="0"/>
        <v>1</v>
      </c>
      <c r="F36" s="339">
        <f>[5]Sheet1!G36</f>
        <v>6500000</v>
      </c>
      <c r="G36" s="339">
        <f>[5]Sheet1!H36</f>
        <v>7500000</v>
      </c>
      <c r="H36" s="1" t="str">
        <f>[5]Sheet1!I36</f>
        <v>Upgraded position</v>
      </c>
    </row>
    <row r="37" spans="1:8" ht="24.95" customHeight="1">
      <c r="A37" s="1" t="str">
        <f>[5]Sheet1!B37</f>
        <v>Senior Outreach Officer</v>
      </c>
      <c r="B37" s="1" t="str">
        <f>[5]Sheet1!C37</f>
        <v>UR 4RS</v>
      </c>
      <c r="C37" s="1">
        <f>[5]Sheet1!D37</f>
        <v>1</v>
      </c>
      <c r="D37" s="1">
        <f>[5]Sheet1!E37</f>
        <v>1</v>
      </c>
      <c r="E37" s="1">
        <f t="shared" si="0"/>
        <v>0</v>
      </c>
      <c r="F37" s="339">
        <f>[5]Sheet1!G37</f>
        <v>6500000</v>
      </c>
      <c r="G37" s="339">
        <f>[5]Sheet1!H37</f>
        <v>7500000</v>
      </c>
      <c r="H37" s="1" t="str">
        <f>[5]Sheet1!I37</f>
        <v>Change in salary</v>
      </c>
    </row>
    <row r="38" spans="1:8" ht="24.95" customHeight="1">
      <c r="A38" s="1" t="str">
        <f>[5]Sheet1!B38</f>
        <v>Senior Incubation and Commercialization Officer</v>
      </c>
      <c r="B38" s="1" t="str">
        <f>[5]Sheet1!C38</f>
        <v>UR 4RS</v>
      </c>
      <c r="C38" s="1">
        <f>[5]Sheet1!D38</f>
        <v>1</v>
      </c>
      <c r="D38" s="1">
        <f>[5]Sheet1!E38</f>
        <v>1</v>
      </c>
      <c r="E38" s="1">
        <f t="shared" si="0"/>
        <v>0</v>
      </c>
      <c r="F38" s="339">
        <f>[5]Sheet1!G38</f>
        <v>6500000</v>
      </c>
      <c r="G38" s="339">
        <f>[5]Sheet1!H38</f>
        <v>7500000</v>
      </c>
      <c r="H38" s="1" t="str">
        <f>[5]Sheet1!I38</f>
        <v>Change in salary</v>
      </c>
    </row>
    <row r="39" spans="1:8" ht="24.95" customHeight="1">
      <c r="A39" s="1" t="str">
        <f>[5]Sheet1!B39</f>
        <v>Senior Intellectual Property Management Officer</v>
      </c>
      <c r="B39" s="1" t="str">
        <f>[5]Sheet1!C39</f>
        <v>UR 4RS</v>
      </c>
      <c r="C39" s="1">
        <f>[5]Sheet1!D39</f>
        <v>1</v>
      </c>
      <c r="D39" s="1">
        <f>[5]Sheet1!E39</f>
        <v>1</v>
      </c>
      <c r="E39" s="1">
        <f t="shared" si="0"/>
        <v>0</v>
      </c>
      <c r="F39" s="339">
        <f>[5]Sheet1!G39</f>
        <v>6500000</v>
      </c>
      <c r="G39" s="339">
        <f>[5]Sheet1!H39</f>
        <v>7500000</v>
      </c>
      <c r="H39" s="1" t="str">
        <f>[5]Sheet1!I39</f>
        <v>Change in salary</v>
      </c>
    </row>
    <row r="40" spans="1:8" ht="24.95" customHeight="1">
      <c r="A40" s="1" t="str">
        <f>[5]Sheet1!B40</f>
        <v>Senior Database Management&amp; Knowledge Mgt  Officer</v>
      </c>
      <c r="B40" s="1" t="str">
        <f>[5]Sheet1!C40</f>
        <v>UR 4RS</v>
      </c>
      <c r="C40" s="1">
        <f>[5]Sheet1!D40</f>
        <v>1</v>
      </c>
      <c r="D40" s="1">
        <f>[5]Sheet1!E40</f>
        <v>1</v>
      </c>
      <c r="E40" s="1">
        <f t="shared" si="0"/>
        <v>0</v>
      </c>
      <c r="F40" s="339">
        <f>[5]Sheet1!G40</f>
        <v>6500000</v>
      </c>
      <c r="G40" s="339">
        <f>[5]Sheet1!H40</f>
        <v>7500000</v>
      </c>
      <c r="H40" s="1" t="str">
        <f>[5]Sheet1!I40</f>
        <v>Change in salary</v>
      </c>
    </row>
    <row r="41" spans="1:8" ht="24.95" customHeight="1">
      <c r="A41" s="1" t="str">
        <f>[5]Sheet1!B41</f>
        <v>Senior Knowledge Mgt  Officer</v>
      </c>
      <c r="B41" s="1" t="str">
        <f>[5]Sheet1!C41</f>
        <v>UR 4RS</v>
      </c>
      <c r="C41" s="1">
        <f>[5]Sheet1!D41</f>
        <v>1</v>
      </c>
      <c r="D41" s="1">
        <f>[5]Sheet1!E41</f>
        <v>1</v>
      </c>
      <c r="E41" s="1">
        <f t="shared" si="0"/>
        <v>0</v>
      </c>
      <c r="F41" s="339">
        <f>[5]Sheet1!G41</f>
        <v>6500000</v>
      </c>
      <c r="G41" s="339">
        <f>[5]Sheet1!H41</f>
        <v>7500000</v>
      </c>
      <c r="H41" s="1" t="str">
        <f>[5]Sheet1!I41</f>
        <v>Change in salary</v>
      </c>
    </row>
    <row r="42" spans="1:8" ht="24.95" customHeight="1">
      <c r="A42" s="1" t="str">
        <f>[5]Sheet1!B42</f>
        <v>Senior Partnership Officer</v>
      </c>
      <c r="B42" s="1" t="str">
        <f>[5]Sheet1!C42</f>
        <v>UR 4RS</v>
      </c>
      <c r="C42" s="1">
        <f>[5]Sheet1!D42</f>
        <v>1</v>
      </c>
      <c r="D42" s="1">
        <f>[5]Sheet1!E42</f>
        <v>1</v>
      </c>
      <c r="E42" s="1">
        <f t="shared" si="0"/>
        <v>0</v>
      </c>
      <c r="F42" s="339">
        <f>[5]Sheet1!G42</f>
        <v>6500000</v>
      </c>
      <c r="G42" s="339">
        <f>[5]Sheet1!H42</f>
        <v>7500000</v>
      </c>
      <c r="H42" s="1" t="str">
        <f>[5]Sheet1!I42</f>
        <v>Change in salary</v>
      </c>
    </row>
    <row r="43" spans="1:8" ht="24.95" customHeight="1">
      <c r="A43" s="1" t="str">
        <f>[5]Sheet1!B43</f>
        <v xml:space="preserve">Senior Research Officer-Biometrics                      </v>
      </c>
      <c r="B43" s="1" t="str">
        <f>[5]Sheet1!C43</f>
        <v>UR 4RS</v>
      </c>
      <c r="C43" s="1">
        <f>[5]Sheet1!D43</f>
        <v>1</v>
      </c>
      <c r="D43" s="1">
        <f>[5]Sheet1!E43</f>
        <v>0</v>
      </c>
      <c r="E43" s="1">
        <f t="shared" si="0"/>
        <v>1</v>
      </c>
      <c r="F43" s="339">
        <f>[5]Sheet1!G43</f>
        <v>6500000</v>
      </c>
      <c r="G43" s="339">
        <f>[5]Sheet1!H43</f>
        <v>7500000</v>
      </c>
      <c r="H43" s="1" t="str">
        <f>[5]Sheet1!I43</f>
        <v>Nomenclature changed&amp; upgraded</v>
      </c>
    </row>
    <row r="44" spans="1:8" ht="24.95" customHeight="1">
      <c r="A44" s="1" t="str">
        <f>[5]Sheet1!B44</f>
        <v>Senior Research Officer-Socio Economist</v>
      </c>
      <c r="B44" s="1" t="str">
        <f>[5]Sheet1!C44</f>
        <v>UR 4RS</v>
      </c>
      <c r="C44" s="1">
        <f>[5]Sheet1!D44</f>
        <v>1</v>
      </c>
      <c r="D44" s="1">
        <f>[5]Sheet1!E44</f>
        <v>0</v>
      </c>
      <c r="E44" s="1">
        <f t="shared" si="0"/>
        <v>1</v>
      </c>
      <c r="F44" s="339">
        <f>[5]Sheet1!G44</f>
        <v>6500000</v>
      </c>
      <c r="G44" s="339">
        <f>[5]Sheet1!H44</f>
        <v>7500000</v>
      </c>
      <c r="H44" s="1" t="str">
        <f>[5]Sheet1!I44</f>
        <v>Nomenclature changed&amp; upgraded</v>
      </c>
    </row>
    <row r="45" spans="1:8" ht="24.95" customHeight="1">
      <c r="A45" s="1" t="str">
        <f>[5]Sheet1!B45</f>
        <v xml:space="preserve">Senior Research Officer- Gender </v>
      </c>
      <c r="B45" s="1" t="str">
        <f>[5]Sheet1!C45</f>
        <v>UR 4RS</v>
      </c>
      <c r="C45" s="1">
        <f>[5]Sheet1!D45</f>
        <v>1</v>
      </c>
      <c r="D45" s="1">
        <f>[5]Sheet1!E45</f>
        <v>0</v>
      </c>
      <c r="E45" s="1">
        <f t="shared" si="0"/>
        <v>1</v>
      </c>
      <c r="F45" s="339">
        <f>[5]Sheet1!G45</f>
        <v>6500000</v>
      </c>
      <c r="G45" s="339">
        <f>[5]Sheet1!H45</f>
        <v>7500000</v>
      </c>
      <c r="H45" s="1" t="str">
        <f>[5]Sheet1!I45</f>
        <v>Nomenclature changed&amp; upgraded</v>
      </c>
    </row>
    <row r="46" spans="1:8" ht="24.95" customHeight="1">
      <c r="A46" s="1" t="str">
        <f>[5]Sheet1!B46</f>
        <v>Marine Engineer</v>
      </c>
      <c r="B46" s="1" t="str">
        <f>[5]Sheet1!C46</f>
        <v>UR 4RS</v>
      </c>
      <c r="C46" s="1">
        <f>[5]Sheet1!D46</f>
        <v>1</v>
      </c>
      <c r="D46" s="1">
        <f>[5]Sheet1!E46</f>
        <v>1</v>
      </c>
      <c r="E46" s="1">
        <f t="shared" si="0"/>
        <v>0</v>
      </c>
      <c r="F46" s="339">
        <f>[5]Sheet1!G46</f>
        <v>6500000</v>
      </c>
      <c r="G46" s="339">
        <f>[5]Sheet1!H46</f>
        <v>7500000</v>
      </c>
      <c r="H46" s="1" t="str">
        <f>[5]Sheet1!I46</f>
        <v>Change in salary</v>
      </c>
    </row>
    <row r="47" spans="1:8" ht="24.95" customHeight="1">
      <c r="A47" s="1" t="str">
        <f>[5]Sheet1!B47</f>
        <v>Marine Captain</v>
      </c>
      <c r="B47" s="1" t="str">
        <f>[5]Sheet1!C47</f>
        <v>UR 4RS</v>
      </c>
      <c r="C47" s="1">
        <f>[5]Sheet1!D47</f>
        <v>1</v>
      </c>
      <c r="D47" s="1">
        <f>[5]Sheet1!E47</f>
        <v>1</v>
      </c>
      <c r="E47" s="1">
        <f t="shared" si="0"/>
        <v>0</v>
      </c>
      <c r="F47" s="339">
        <f>[5]Sheet1!G47</f>
        <v>6500000</v>
      </c>
      <c r="G47" s="339">
        <f>[5]Sheet1!H47</f>
        <v>7500000</v>
      </c>
      <c r="H47" s="1" t="str">
        <f>[5]Sheet1!I47</f>
        <v>Change in salary</v>
      </c>
    </row>
    <row r="48" spans="1:8" ht="24.95" customHeight="1">
      <c r="A48" s="1" t="str">
        <f>[5]Sheet1!B48</f>
        <v>Senior Research Officer</v>
      </c>
      <c r="B48" s="1" t="str">
        <f>[5]Sheet1!C48</f>
        <v>UR 4RS</v>
      </c>
      <c r="C48" s="1">
        <f>[5]Sheet1!D48</f>
        <v>117</v>
      </c>
      <c r="D48" s="1">
        <v>88</v>
      </c>
      <c r="E48" s="1">
        <f t="shared" si="0"/>
        <v>29</v>
      </c>
      <c r="F48" s="339">
        <f>[5]Sheet1!G48</f>
        <v>6500000</v>
      </c>
      <c r="G48" s="339">
        <f>[5]Sheet1!H48</f>
        <v>7500000</v>
      </c>
      <c r="H48" s="1" t="str">
        <f>[5]Sheet1!I48</f>
        <v>Change in salary</v>
      </c>
    </row>
    <row r="49" spans="1:8" ht="24.95" customHeight="1">
      <c r="A49" s="1" t="str">
        <f>[5]Sheet1!B49</f>
        <v xml:space="preserve">Senior Accountant </v>
      </c>
      <c r="B49" s="1" t="str">
        <f>[5]Sheet1!C49</f>
        <v>UR 4Admin</v>
      </c>
      <c r="C49" s="1">
        <f>[5]Sheet1!D49</f>
        <v>7</v>
      </c>
      <c r="D49" s="1">
        <f>[5]Sheet1!E49</f>
        <v>7</v>
      </c>
      <c r="E49" s="1">
        <f t="shared" si="0"/>
        <v>0</v>
      </c>
      <c r="F49" s="339">
        <f>[5]Sheet1!G49</f>
        <v>5500000</v>
      </c>
      <c r="G49" s="339">
        <f>[5]Sheet1!H49</f>
        <v>5500000</v>
      </c>
      <c r="H49" s="1"/>
    </row>
    <row r="50" spans="1:8" ht="24.95" customHeight="1">
      <c r="A50" s="1" t="str">
        <f>[5]Sheet1!B50</f>
        <v>Senior Development Communication Officer</v>
      </c>
      <c r="B50" s="1" t="str">
        <f>[5]Sheet1!C50</f>
        <v>UR 4Admin</v>
      </c>
      <c r="C50" s="1">
        <f>[5]Sheet1!D50</f>
        <v>4</v>
      </c>
      <c r="D50" s="1">
        <f>[5]Sheet1!E50</f>
        <v>2</v>
      </c>
      <c r="E50" s="1">
        <f t="shared" si="0"/>
        <v>2</v>
      </c>
      <c r="F50" s="339">
        <f>[5]Sheet1!G50</f>
        <v>5500000</v>
      </c>
      <c r="G50" s="339">
        <f>[5]Sheet1!H50</f>
        <v>5500000</v>
      </c>
      <c r="H50" s="1"/>
    </row>
    <row r="51" spans="1:8" ht="24.95" customHeight="1">
      <c r="A51" s="1" t="str">
        <f>[5]Sheet1!B51</f>
        <v>Senior Communication Officer</v>
      </c>
      <c r="B51" s="1" t="str">
        <f>[5]Sheet1!C51</f>
        <v>UR 4Admin</v>
      </c>
      <c r="C51" s="1">
        <f>[5]Sheet1!D51</f>
        <v>1</v>
      </c>
      <c r="D51" s="1">
        <f>[5]Sheet1!E51</f>
        <v>1</v>
      </c>
      <c r="E51" s="1">
        <f t="shared" si="0"/>
        <v>0</v>
      </c>
      <c r="F51" s="339">
        <f>[5]Sheet1!G51</f>
        <v>5500000</v>
      </c>
      <c r="G51" s="339">
        <f>[5]Sheet1!H51</f>
        <v>5500000</v>
      </c>
      <c r="H51" s="1"/>
    </row>
    <row r="52" spans="1:8" ht="24.95" customHeight="1">
      <c r="A52" s="1" t="str">
        <f>[5]Sheet1!B52</f>
        <v>Senior Legal  Officer</v>
      </c>
      <c r="B52" s="1" t="str">
        <f>[5]Sheet1!C52</f>
        <v>UR 4Admin</v>
      </c>
      <c r="C52" s="1">
        <f>[5]Sheet1!D52</f>
        <v>1</v>
      </c>
      <c r="D52" s="1">
        <f>[5]Sheet1!E52</f>
        <v>0</v>
      </c>
      <c r="E52" s="1">
        <f t="shared" si="0"/>
        <v>1</v>
      </c>
      <c r="F52" s="339">
        <f>[5]Sheet1!G52</f>
        <v>5500000</v>
      </c>
      <c r="G52" s="339">
        <f>[5]Sheet1!H52</f>
        <v>5500000</v>
      </c>
      <c r="H52" s="1" t="str">
        <f>[5]Sheet1!I52</f>
        <v>Nomenclature changed&amp; upgraded</v>
      </c>
    </row>
    <row r="53" spans="1:8" ht="24.95" customHeight="1">
      <c r="A53" s="1" t="str">
        <f>[5]Sheet1!B53</f>
        <v>Senior Human Resource Officer</v>
      </c>
      <c r="B53" s="1" t="str">
        <f>[5]Sheet1!C53</f>
        <v>UR 4Admin</v>
      </c>
      <c r="C53" s="1">
        <f>[5]Sheet1!D53</f>
        <v>1</v>
      </c>
      <c r="D53" s="1">
        <f>[5]Sheet1!E53</f>
        <v>1</v>
      </c>
      <c r="E53" s="1">
        <f t="shared" si="0"/>
        <v>0</v>
      </c>
      <c r="F53" s="339">
        <f>[5]Sheet1!G53</f>
        <v>5500000</v>
      </c>
      <c r="G53" s="339">
        <f>[5]Sheet1!H53</f>
        <v>5500000</v>
      </c>
      <c r="H53" s="1" t="str">
        <f>[5]Sheet1!I53</f>
        <v>Upgraded position</v>
      </c>
    </row>
    <row r="54" spans="1:8" ht="24.95" customHeight="1">
      <c r="A54" s="1" t="str">
        <f>[5]Sheet1!B54</f>
        <v>Senior Human Resource &amp; Administrative Officer</v>
      </c>
      <c r="B54" s="1" t="str">
        <f>[5]Sheet1!C54</f>
        <v>UR 4Admin</v>
      </c>
      <c r="C54" s="1">
        <f>[5]Sheet1!D54</f>
        <v>5</v>
      </c>
      <c r="D54" s="1">
        <f>[5]Sheet1!E54</f>
        <v>4</v>
      </c>
      <c r="E54" s="1">
        <f t="shared" si="0"/>
        <v>1</v>
      </c>
      <c r="F54" s="339">
        <f>[5]Sheet1!G54</f>
        <v>5500000</v>
      </c>
      <c r="G54" s="339">
        <f>[5]Sheet1!H54</f>
        <v>5500000</v>
      </c>
      <c r="H54" s="1"/>
    </row>
    <row r="55" spans="1:8" ht="24.95" customHeight="1">
      <c r="A55" s="1" t="str">
        <f>[5]Sheet1!B55</f>
        <v>Senior Internal Auditor</v>
      </c>
      <c r="B55" s="1" t="str">
        <f>[5]Sheet1!C55</f>
        <v>UR 4Admin</v>
      </c>
      <c r="C55" s="1">
        <f>[5]Sheet1!D55</f>
        <v>7</v>
      </c>
      <c r="D55" s="1">
        <f>[5]Sheet1!E55</f>
        <v>4</v>
      </c>
      <c r="E55" s="1">
        <f t="shared" si="0"/>
        <v>3</v>
      </c>
      <c r="F55" s="339">
        <f>[5]Sheet1!G55</f>
        <v>5500000</v>
      </c>
      <c r="G55" s="339">
        <f>[5]Sheet1!H55</f>
        <v>5500000</v>
      </c>
      <c r="H55" s="1"/>
    </row>
    <row r="56" spans="1:8" ht="24.95" customHeight="1">
      <c r="A56" s="1" t="str">
        <f>[5]Sheet1!B56</f>
        <v>Principal  Administrative Assistant G.II</v>
      </c>
      <c r="B56" s="1" t="str">
        <f>[5]Sheet1!C56</f>
        <v>UR 4Admin</v>
      </c>
      <c r="C56" s="1">
        <f>[5]Sheet1!D56</f>
        <v>1</v>
      </c>
      <c r="D56" s="1">
        <f>[5]Sheet1!E56</f>
        <v>1</v>
      </c>
      <c r="E56" s="1">
        <f t="shared" si="0"/>
        <v>0</v>
      </c>
      <c r="F56" s="339">
        <f>[5]Sheet1!G56</f>
        <v>5500000</v>
      </c>
      <c r="G56" s="339">
        <f>[5]Sheet1!H56</f>
        <v>5500000</v>
      </c>
      <c r="H56" s="1"/>
    </row>
    <row r="57" spans="1:8" ht="24.95" customHeight="1">
      <c r="A57" s="1" t="str">
        <f>[5]Sheet1!B57</f>
        <v>Principal  Administrative Assistant G.II</v>
      </c>
      <c r="B57" s="1" t="str">
        <f>[5]Sheet1!C57</f>
        <v>UR 4Admin</v>
      </c>
      <c r="C57" s="1">
        <f>[5]Sheet1!D57</f>
        <v>1</v>
      </c>
      <c r="D57" s="1">
        <f>[5]Sheet1!E57</f>
        <v>0</v>
      </c>
      <c r="E57" s="1">
        <f t="shared" si="0"/>
        <v>1</v>
      </c>
      <c r="F57" s="339">
        <f>[5]Sheet1!G57</f>
        <v>5500000</v>
      </c>
      <c r="G57" s="339">
        <f>[5]Sheet1!H57</f>
        <v>5500000</v>
      </c>
      <c r="H57" s="1"/>
    </row>
    <row r="58" spans="1:8" ht="24.95" customHeight="1">
      <c r="A58" s="1" t="str">
        <f>[5]Sheet1!B58</f>
        <v>Senior Procurement Officer</v>
      </c>
      <c r="B58" s="1" t="str">
        <f>[5]Sheet1!C58</f>
        <v>UR 4Admin</v>
      </c>
      <c r="C58" s="1">
        <f>[5]Sheet1!D58</f>
        <v>9</v>
      </c>
      <c r="D58" s="1">
        <f>[5]Sheet1!E58</f>
        <v>6</v>
      </c>
      <c r="E58" s="1">
        <f t="shared" si="0"/>
        <v>3</v>
      </c>
      <c r="F58" s="339">
        <f>[5]Sheet1!G58</f>
        <v>5500000</v>
      </c>
      <c r="G58" s="339">
        <f>[5]Sheet1!H58</f>
        <v>5500000</v>
      </c>
      <c r="H58" s="1"/>
    </row>
    <row r="59" spans="1:8" ht="24.95" customHeight="1">
      <c r="A59" s="1" t="str">
        <f>[5]Sheet1!B59</f>
        <v xml:space="preserve">Senior Administrative Officer </v>
      </c>
      <c r="B59" s="1" t="str">
        <f>[5]Sheet1!C59</f>
        <v>UR 4Admin</v>
      </c>
      <c r="C59" s="1">
        <f>[5]Sheet1!D59</f>
        <v>1</v>
      </c>
      <c r="D59" s="1">
        <f>[5]Sheet1!E59</f>
        <v>1</v>
      </c>
      <c r="E59" s="1">
        <f t="shared" si="0"/>
        <v>0</v>
      </c>
      <c r="F59" s="339">
        <f>[5]Sheet1!G59</f>
        <v>5500000</v>
      </c>
      <c r="G59" s="339">
        <f>[5]Sheet1!H59</f>
        <v>5500000</v>
      </c>
      <c r="H59" s="1"/>
    </row>
    <row r="60" spans="1:8" ht="24.95" customHeight="1">
      <c r="A60" s="1" t="str">
        <f>[5]Sheet1!B60</f>
        <v>Senior  Information Technology Officer</v>
      </c>
      <c r="B60" s="1" t="str">
        <f>[5]Sheet1!C60</f>
        <v>UR 4RT</v>
      </c>
      <c r="C60" s="1">
        <f>[5]Sheet1!D60</f>
        <v>1</v>
      </c>
      <c r="D60" s="1">
        <f>[5]Sheet1!E60</f>
        <v>1</v>
      </c>
      <c r="E60" s="1">
        <f t="shared" si="0"/>
        <v>0</v>
      </c>
      <c r="F60" s="339">
        <f>[5]Sheet1!G60</f>
        <v>5600000</v>
      </c>
      <c r="G60" s="339">
        <f>[5]Sheet1!H60</f>
        <v>5600000</v>
      </c>
      <c r="H60" s="1"/>
    </row>
    <row r="61" spans="1:8" ht="24.95" customHeight="1">
      <c r="A61" s="1" t="str">
        <f>[5]Sheet1!B61</f>
        <v xml:space="preserve">Senior Principal Technician                                </v>
      </c>
      <c r="B61" s="1" t="str">
        <f>[5]Sheet1!C61</f>
        <v>UR 4RT</v>
      </c>
      <c r="C61" s="1">
        <f>[5]Sheet1!D61</f>
        <v>4</v>
      </c>
      <c r="D61" s="1">
        <f>[5]Sheet1!E61</f>
        <v>1</v>
      </c>
      <c r="E61" s="1">
        <f t="shared" si="0"/>
        <v>3</v>
      </c>
      <c r="F61" s="339">
        <f>[5]Sheet1!G61</f>
        <v>5600000</v>
      </c>
      <c r="G61" s="339">
        <f>[5]Sheet1!H61</f>
        <v>5600000</v>
      </c>
      <c r="H61" s="1"/>
    </row>
    <row r="62" spans="1:8" ht="24.95" customHeight="1">
      <c r="A62" s="1" t="str">
        <f>[5]Sheet1!B62</f>
        <v>Senior Monitoring and Evaluation Officer</v>
      </c>
      <c r="B62" s="1" t="str">
        <f>[5]Sheet1!C62</f>
        <v>UR 4Admin</v>
      </c>
      <c r="C62" s="1">
        <f>[5]Sheet1!D62</f>
        <v>1</v>
      </c>
      <c r="D62" s="1">
        <f>[5]Sheet1!E62</f>
        <v>0</v>
      </c>
      <c r="E62" s="1">
        <f t="shared" si="0"/>
        <v>1</v>
      </c>
      <c r="F62" s="339">
        <f>[5]Sheet1!G62</f>
        <v>5500000</v>
      </c>
      <c r="G62" s="339">
        <f>[5]Sheet1!H62</f>
        <v>5500000</v>
      </c>
      <c r="H62" s="1"/>
    </row>
    <row r="63" spans="1:8" ht="24.95" customHeight="1">
      <c r="A63" s="1" t="str">
        <f>[5]Sheet1!B63</f>
        <v>Senior Procurement Officer</v>
      </c>
      <c r="B63" s="1" t="str">
        <f>[5]Sheet1!C63</f>
        <v>UR 4Admin</v>
      </c>
      <c r="C63" s="1">
        <f>[5]Sheet1!D63</f>
        <v>9</v>
      </c>
      <c r="D63" s="1">
        <f>[5]Sheet1!E63</f>
        <v>6</v>
      </c>
      <c r="E63" s="1">
        <f t="shared" si="0"/>
        <v>3</v>
      </c>
      <c r="F63" s="339">
        <f>[5]Sheet1!G63</f>
        <v>5500000</v>
      </c>
      <c r="G63" s="339">
        <f>[5]Sheet1!H63</f>
        <v>5500000</v>
      </c>
      <c r="H63" s="1"/>
    </row>
    <row r="64" spans="1:8" ht="24.95" customHeight="1">
      <c r="A64" s="1" t="str">
        <f>[5]Sheet1!B64</f>
        <v>Digital Media Officer</v>
      </c>
      <c r="B64" s="1" t="str">
        <f>[5]Sheet1!C64</f>
        <v>UR 5(i)RS</v>
      </c>
      <c r="C64" s="1">
        <f>[5]Sheet1!D64</f>
        <v>1</v>
      </c>
      <c r="D64" s="1">
        <f>[5]Sheet1!E64</f>
        <v>1</v>
      </c>
      <c r="E64" s="1">
        <f t="shared" si="0"/>
        <v>0</v>
      </c>
      <c r="F64" s="339">
        <f>[5]Sheet1!G64</f>
        <v>4800000</v>
      </c>
      <c r="G64" s="339">
        <f>[5]Sheet1!H64</f>
        <v>6000000</v>
      </c>
      <c r="H64" s="1"/>
    </row>
    <row r="65" spans="1:8" ht="24.95" customHeight="1">
      <c r="A65" s="1" t="str">
        <f>[5]Sheet1!B65</f>
        <v>Statistician</v>
      </c>
      <c r="B65" s="1" t="str">
        <f>[5]Sheet1!C65</f>
        <v>UR 5(i)RS</v>
      </c>
      <c r="C65" s="1">
        <f>[5]Sheet1!D65</f>
        <v>1</v>
      </c>
      <c r="D65" s="1">
        <f>[5]Sheet1!E65</f>
        <v>0</v>
      </c>
      <c r="E65" s="1">
        <f t="shared" si="0"/>
        <v>1</v>
      </c>
      <c r="F65" s="339">
        <f>[5]Sheet1!G65</f>
        <v>4800000</v>
      </c>
      <c r="G65" s="339">
        <f>[5]Sheet1!H65</f>
        <v>6000000</v>
      </c>
      <c r="H65" s="1"/>
    </row>
    <row r="66" spans="1:8" ht="24.95" customHeight="1">
      <c r="A66" s="1" t="str">
        <f>[5]Sheet1!B66</f>
        <v xml:space="preserve">Planner </v>
      </c>
      <c r="B66" s="1" t="str">
        <f>[5]Sheet1!C66</f>
        <v>UR 5(i)RS</v>
      </c>
      <c r="C66" s="1">
        <f>[5]Sheet1!D66</f>
        <v>1</v>
      </c>
      <c r="D66" s="1">
        <f>[5]Sheet1!E66</f>
        <v>0</v>
      </c>
      <c r="E66" s="1">
        <f t="shared" si="0"/>
        <v>1</v>
      </c>
      <c r="F66" s="339">
        <f>[5]Sheet1!G66</f>
        <v>4800000</v>
      </c>
      <c r="G66" s="339">
        <f>[5]Sheet1!H66</f>
        <v>6000000</v>
      </c>
      <c r="H66" s="1" t="str">
        <f>[5]Sheet1!I66</f>
        <v xml:space="preserve">New position </v>
      </c>
    </row>
    <row r="67" spans="1:8" ht="24.95" customHeight="1">
      <c r="A67" s="1" t="str">
        <f>[5]Sheet1!B67</f>
        <v>Monitoring and Evaluation Officer</v>
      </c>
      <c r="B67" s="1" t="str">
        <f>[5]Sheet1!C67</f>
        <v>UR 5(i)RS</v>
      </c>
      <c r="C67" s="1">
        <f>[5]Sheet1!D67</f>
        <v>1</v>
      </c>
      <c r="D67" s="1">
        <f>[5]Sheet1!E67</f>
        <v>1</v>
      </c>
      <c r="E67" s="1">
        <f t="shared" si="0"/>
        <v>0</v>
      </c>
      <c r="F67" s="339">
        <f>[5]Sheet1!G67</f>
        <v>4800000</v>
      </c>
      <c r="G67" s="339">
        <f>[5]Sheet1!H67</f>
        <v>6000000</v>
      </c>
      <c r="H67" s="1">
        <f>[5]Sheet1!I67</f>
        <v>0</v>
      </c>
    </row>
    <row r="68" spans="1:8" ht="24.95" customHeight="1">
      <c r="A68" s="1" t="str">
        <f>[5]Sheet1!B68</f>
        <v xml:space="preserve">Econometrician </v>
      </c>
      <c r="B68" s="1" t="str">
        <f>[5]Sheet1!C68</f>
        <v>UR 5(i)RS</v>
      </c>
      <c r="C68" s="1">
        <f>[5]Sheet1!D68</f>
        <v>1</v>
      </c>
      <c r="D68" s="1">
        <f>[5]Sheet1!E68</f>
        <v>1</v>
      </c>
      <c r="E68" s="1">
        <f t="shared" ref="E68:E131" si="1">(C68-D68)</f>
        <v>0</v>
      </c>
      <c r="F68" s="339">
        <f>[5]Sheet1!G68</f>
        <v>4800000</v>
      </c>
      <c r="G68" s="339">
        <f>[5]Sheet1!H68</f>
        <v>6000000</v>
      </c>
      <c r="H68" s="1">
        <f>[5]Sheet1!I68</f>
        <v>0</v>
      </c>
    </row>
    <row r="69" spans="1:8" ht="24.95" customHeight="1">
      <c r="A69" s="1" t="str">
        <f>[5]Sheet1!B69</f>
        <v xml:space="preserve"> Knowledge Management  Officer(Publication Officer)</v>
      </c>
      <c r="B69" s="1" t="str">
        <f>[5]Sheet1!C69</f>
        <v>UR 5(i)RS</v>
      </c>
      <c r="C69" s="1">
        <f>[5]Sheet1!D69</f>
        <v>1</v>
      </c>
      <c r="D69" s="1">
        <f>[5]Sheet1!E69</f>
        <v>0</v>
      </c>
      <c r="E69" s="1">
        <f t="shared" si="1"/>
        <v>1</v>
      </c>
      <c r="F69" s="339">
        <f>[5]Sheet1!G69</f>
        <v>4800000</v>
      </c>
      <c r="G69" s="339">
        <f>[5]Sheet1!H69</f>
        <v>6000000</v>
      </c>
      <c r="H69" s="1">
        <f>[5]Sheet1!I69</f>
        <v>0</v>
      </c>
    </row>
    <row r="70" spans="1:8" ht="24.95" customHeight="1">
      <c r="A70" s="1" t="str">
        <f>[5]Sheet1!B70</f>
        <v>Partnership Officer</v>
      </c>
      <c r="B70" s="1" t="str">
        <f>[5]Sheet1!C70</f>
        <v>UR 5(i)RS</v>
      </c>
      <c r="C70" s="1">
        <f>[5]Sheet1!D70</f>
        <v>1</v>
      </c>
      <c r="D70" s="1">
        <f>[5]Sheet1!E70</f>
        <v>0</v>
      </c>
      <c r="E70" s="1">
        <f t="shared" si="1"/>
        <v>1</v>
      </c>
      <c r="F70" s="339">
        <f>[5]Sheet1!G70</f>
        <v>4800000</v>
      </c>
      <c r="G70" s="339">
        <f>[5]Sheet1!H70</f>
        <v>6000000</v>
      </c>
      <c r="H70" s="1" t="str">
        <f>[5]Sheet1!I70</f>
        <v xml:space="preserve">New position </v>
      </c>
    </row>
    <row r="71" spans="1:8" ht="24.95" customHeight="1">
      <c r="A71" s="1" t="str">
        <f>[5]Sheet1!B71</f>
        <v xml:space="preserve"> Intellectual Property Management Officer</v>
      </c>
      <c r="B71" s="1" t="str">
        <f>[5]Sheet1!C71</f>
        <v>UR 5(i)RS</v>
      </c>
      <c r="C71" s="1">
        <f>[5]Sheet1!D71</f>
        <v>1</v>
      </c>
      <c r="D71" s="1">
        <f>[5]Sheet1!E71</f>
        <v>0</v>
      </c>
      <c r="E71" s="1">
        <f t="shared" si="1"/>
        <v>1</v>
      </c>
      <c r="F71" s="339">
        <f>[5]Sheet1!G71</f>
        <v>4800000</v>
      </c>
      <c r="G71" s="339">
        <f>[5]Sheet1!H71</f>
        <v>6000000</v>
      </c>
      <c r="H71" s="1" t="str">
        <f>[5]Sheet1!I71</f>
        <v xml:space="preserve">New position </v>
      </c>
    </row>
    <row r="72" spans="1:8" ht="24.95" customHeight="1">
      <c r="A72" s="1" t="str">
        <f>[5]Sheet1!B72</f>
        <v>First Officer</v>
      </c>
      <c r="B72" s="1" t="str">
        <f>[5]Sheet1!C72</f>
        <v>UR 5(i)RS</v>
      </c>
      <c r="C72" s="1">
        <f>[5]Sheet1!D72</f>
        <v>1</v>
      </c>
      <c r="D72" s="1">
        <f>[5]Sheet1!E72</f>
        <v>0</v>
      </c>
      <c r="E72" s="1">
        <f t="shared" si="1"/>
        <v>1</v>
      </c>
      <c r="F72" s="339">
        <f>[5]Sheet1!G72</f>
        <v>4800000</v>
      </c>
      <c r="G72" s="339">
        <f>[5]Sheet1!H72</f>
        <v>6000000</v>
      </c>
      <c r="H72" s="1">
        <f>[5]Sheet1!I72</f>
        <v>0</v>
      </c>
    </row>
    <row r="73" spans="1:8" ht="24.95" customHeight="1">
      <c r="A73" s="1" t="str">
        <f>[5]Sheet1!B73</f>
        <v>Research Officer-Quality Control</v>
      </c>
      <c r="B73" s="1" t="str">
        <f>[5]Sheet1!C73</f>
        <v>UR 5(i)RS</v>
      </c>
      <c r="C73" s="1">
        <f>[5]Sheet1!D73</f>
        <v>2</v>
      </c>
      <c r="D73" s="1">
        <f>[5]Sheet1!E73</f>
        <v>0</v>
      </c>
      <c r="E73" s="1">
        <f t="shared" si="1"/>
        <v>2</v>
      </c>
      <c r="F73" s="339">
        <f>[5]Sheet1!G73</f>
        <v>4800000</v>
      </c>
      <c r="G73" s="339">
        <f>[5]Sheet1!H73</f>
        <v>6000000</v>
      </c>
      <c r="H73" s="1">
        <f>[5]Sheet1!I73</f>
        <v>0</v>
      </c>
    </row>
    <row r="74" spans="1:8" ht="24.95" customHeight="1">
      <c r="A74" s="1" t="str">
        <f>[5]Sheet1!B74</f>
        <v>Research Officer-Planning</v>
      </c>
      <c r="B74" s="1" t="str">
        <f>[5]Sheet1!C74</f>
        <v>UR 5(i)RS</v>
      </c>
      <c r="C74" s="1">
        <f>[5]Sheet1!D74</f>
        <v>8</v>
      </c>
      <c r="D74" s="1">
        <f>[5]Sheet1!E74</f>
        <v>0</v>
      </c>
      <c r="E74" s="1">
        <f t="shared" si="1"/>
        <v>8</v>
      </c>
      <c r="F74" s="339">
        <f>[5]Sheet1!G74</f>
        <v>4800000</v>
      </c>
      <c r="G74" s="339">
        <f>[5]Sheet1!H74</f>
        <v>6000000</v>
      </c>
      <c r="H74" s="1">
        <f>[5]Sheet1!I74</f>
        <v>0</v>
      </c>
    </row>
    <row r="75" spans="1:8" ht="24.95" customHeight="1">
      <c r="A75" s="1" t="str">
        <f>[5]Sheet1!B75</f>
        <v xml:space="preserve">Food Chemist </v>
      </c>
      <c r="B75" s="1" t="str">
        <f>[5]Sheet1!C75</f>
        <v>UR 5(i)RS</v>
      </c>
      <c r="C75" s="1">
        <f>[5]Sheet1!D75</f>
        <v>2</v>
      </c>
      <c r="D75" s="1">
        <f>[5]Sheet1!E75</f>
        <v>0</v>
      </c>
      <c r="E75" s="1">
        <f t="shared" si="1"/>
        <v>2</v>
      </c>
      <c r="F75" s="339">
        <f>[5]Sheet1!G75</f>
        <v>4800000</v>
      </c>
      <c r="G75" s="339">
        <f>[5]Sheet1!H75</f>
        <v>6000000</v>
      </c>
      <c r="H75" s="1" t="str">
        <f>[5]Sheet1!I75</f>
        <v xml:space="preserve">New position </v>
      </c>
    </row>
    <row r="76" spans="1:8" ht="24.95" customHeight="1">
      <c r="A76" s="1" t="str">
        <f>[5]Sheet1!B76</f>
        <v>Sugar Technologist</v>
      </c>
      <c r="B76" s="1" t="str">
        <f>[5]Sheet1!C76</f>
        <v>UR 5(i)RS</v>
      </c>
      <c r="C76" s="1">
        <f>[5]Sheet1!D76</f>
        <v>1</v>
      </c>
      <c r="D76" s="1">
        <f>[5]Sheet1!E76</f>
        <v>1</v>
      </c>
      <c r="E76" s="1">
        <f t="shared" si="1"/>
        <v>0</v>
      </c>
      <c r="F76" s="339">
        <f>[5]Sheet1!G76</f>
        <v>4800000</v>
      </c>
      <c r="G76" s="339">
        <f>[5]Sheet1!H76</f>
        <v>6000000</v>
      </c>
      <c r="H76" s="1" t="str">
        <f>[5]Sheet1!I76</f>
        <v xml:space="preserve">New position </v>
      </c>
    </row>
    <row r="77" spans="1:8" ht="24.95" customHeight="1">
      <c r="A77" s="1" t="str">
        <f>[5]Sheet1!B77</f>
        <v xml:space="preserve">Research Officer                                                  </v>
      </c>
      <c r="B77" s="1" t="str">
        <f>[5]Sheet1!C77</f>
        <v>UR 5(i)RS</v>
      </c>
      <c r="C77" s="1">
        <f>[5]Sheet1!D77</f>
        <v>197</v>
      </c>
      <c r="D77" s="1">
        <f>[5]Sheet1!E77</f>
        <v>112</v>
      </c>
      <c r="E77" s="1">
        <v>90</v>
      </c>
      <c r="F77" s="339">
        <f>[5]Sheet1!G77</f>
        <v>4800000</v>
      </c>
      <c r="G77" s="339">
        <f>[5]Sheet1!H77</f>
        <v>6000000</v>
      </c>
      <c r="H77" s="1">
        <f>[5]Sheet1!I77</f>
        <v>0</v>
      </c>
    </row>
    <row r="78" spans="1:8" ht="24.95" customHeight="1">
      <c r="A78" s="1" t="str">
        <f>[5]Sheet1!B78</f>
        <v>Civil Engineer</v>
      </c>
      <c r="B78" s="1" t="str">
        <f>[5]Sheet1!C78</f>
        <v>UR 5(i)RT</v>
      </c>
      <c r="C78" s="1">
        <f>[5]Sheet1!D78</f>
        <v>1</v>
      </c>
      <c r="D78" s="1">
        <f>[5]Sheet1!E78</f>
        <v>1</v>
      </c>
      <c r="E78" s="1">
        <f t="shared" si="1"/>
        <v>0</v>
      </c>
      <c r="F78" s="339">
        <f>[5]Sheet1!G78</f>
        <v>4000000</v>
      </c>
      <c r="G78" s="339">
        <f>[5]Sheet1!H78</f>
        <v>4500000</v>
      </c>
      <c r="H78" s="1">
        <f>[5]Sheet1!I78</f>
        <v>0</v>
      </c>
    </row>
    <row r="79" spans="1:8" ht="24.95" customHeight="1">
      <c r="A79" s="1" t="str">
        <f>[5]Sheet1!B79</f>
        <v xml:space="preserve">Data and Information Management Officer </v>
      </c>
      <c r="B79" s="1" t="str">
        <f>[5]Sheet1!C79</f>
        <v>UR 5(i)RT</v>
      </c>
      <c r="C79" s="1">
        <f>[5]Sheet1!D79</f>
        <v>1</v>
      </c>
      <c r="D79" s="1">
        <f>[5]Sheet1!E79</f>
        <v>0</v>
      </c>
      <c r="E79" s="1">
        <f t="shared" si="1"/>
        <v>1</v>
      </c>
      <c r="F79" s="339">
        <f>[5]Sheet1!G79</f>
        <v>4000000</v>
      </c>
      <c r="G79" s="339">
        <f>[5]Sheet1!H79</f>
        <v>4500000</v>
      </c>
      <c r="H79" s="1" t="str">
        <f>[5]Sheet1!I79</f>
        <v xml:space="preserve">New position </v>
      </c>
    </row>
    <row r="80" spans="1:8" ht="24.95" customHeight="1">
      <c r="A80" s="1" t="str">
        <f>[5]Sheet1!B80</f>
        <v>Farm Manager</v>
      </c>
      <c r="B80" s="1" t="str">
        <f>[5]Sheet1!C80</f>
        <v>UR 5(i)RT</v>
      </c>
      <c r="C80" s="1">
        <f>[5]Sheet1!D80</f>
        <v>17</v>
      </c>
      <c r="D80" s="1">
        <f>[5]Sheet1!E80</f>
        <v>17</v>
      </c>
      <c r="E80" s="1">
        <f t="shared" si="1"/>
        <v>0</v>
      </c>
      <c r="F80" s="339">
        <f>[5]Sheet1!G80</f>
        <v>4000000</v>
      </c>
      <c r="G80" s="339">
        <f>[5]Sheet1!H80</f>
        <v>4500000</v>
      </c>
      <c r="H80" s="1">
        <f>[5]Sheet1!I80</f>
        <v>0</v>
      </c>
    </row>
    <row r="81" spans="1:8" ht="24.95" customHeight="1">
      <c r="A81" s="1" t="str">
        <f>[5]Sheet1!B81</f>
        <v>First Officer</v>
      </c>
      <c r="B81" s="1" t="str">
        <f>[5]Sheet1!C81</f>
        <v>UR 5(i)RT</v>
      </c>
      <c r="C81" s="1">
        <f>[5]Sheet1!D81</f>
        <v>1</v>
      </c>
      <c r="D81" s="1">
        <f>[5]Sheet1!E81</f>
        <v>0</v>
      </c>
      <c r="E81" s="1">
        <f t="shared" si="1"/>
        <v>1</v>
      </c>
      <c r="F81" s="339">
        <f>[5]Sheet1!G81</f>
        <v>4000000</v>
      </c>
      <c r="G81" s="339">
        <f>[5]Sheet1!H81</f>
        <v>4500000</v>
      </c>
      <c r="H81" s="1">
        <f>[5]Sheet1!I81</f>
        <v>0</v>
      </c>
    </row>
    <row r="82" spans="1:8" ht="24.95" customHeight="1">
      <c r="A82" s="1" t="str">
        <f>[5]Sheet1!B82</f>
        <v>Information Technology Officer</v>
      </c>
      <c r="B82" s="1" t="str">
        <f>[5]Sheet1!C82</f>
        <v>UR 5(i)RT</v>
      </c>
      <c r="C82" s="1">
        <f>[5]Sheet1!D82</f>
        <v>19</v>
      </c>
      <c r="D82" s="1">
        <f>[5]Sheet1!E82</f>
        <v>8</v>
      </c>
      <c r="E82" s="1">
        <f t="shared" si="1"/>
        <v>11</v>
      </c>
      <c r="F82" s="339">
        <f>[5]Sheet1!G82</f>
        <v>4000000</v>
      </c>
      <c r="G82" s="339">
        <f>[5]Sheet1!H82</f>
        <v>4500000</v>
      </c>
      <c r="H82" s="1">
        <f>[5]Sheet1!I82</f>
        <v>0</v>
      </c>
    </row>
    <row r="83" spans="1:8" ht="24.95" customHeight="1">
      <c r="A83" s="1" t="str">
        <f>[5]Sheet1!B83</f>
        <v xml:space="preserve">Information Technology Officer-Digitization </v>
      </c>
      <c r="B83" s="1" t="str">
        <f>[5]Sheet1!C83</f>
        <v>UR 5(i)RT</v>
      </c>
      <c r="C83" s="1">
        <f>[5]Sheet1!D83</f>
        <v>1</v>
      </c>
      <c r="D83" s="1">
        <f>[5]Sheet1!E83</f>
        <v>0</v>
      </c>
      <c r="E83" s="1">
        <f t="shared" si="1"/>
        <v>1</v>
      </c>
      <c r="F83" s="339">
        <f>[5]Sheet1!G83</f>
        <v>4000000</v>
      </c>
      <c r="G83" s="339">
        <f>[5]Sheet1!H83</f>
        <v>4500000</v>
      </c>
      <c r="H83" s="1" t="str">
        <f>[5]Sheet1!I83</f>
        <v xml:space="preserve">New position </v>
      </c>
    </row>
    <row r="84" spans="1:8" ht="24.95" customHeight="1">
      <c r="A84" s="1" t="str">
        <f>[5]Sheet1!B84</f>
        <v>Policy and Market Analyst</v>
      </c>
      <c r="B84" s="1" t="str">
        <f>[5]Sheet1!C84</f>
        <v>UR 5(i)RT</v>
      </c>
      <c r="C84" s="1">
        <f>[5]Sheet1!D84</f>
        <v>1</v>
      </c>
      <c r="D84" s="1">
        <f>[5]Sheet1!E84</f>
        <v>0</v>
      </c>
      <c r="E84" s="1">
        <f t="shared" si="1"/>
        <v>1</v>
      </c>
      <c r="F84" s="339">
        <f>[5]Sheet1!G84</f>
        <v>4000000</v>
      </c>
      <c r="G84" s="339">
        <f>[5]Sheet1!H84</f>
        <v>4500000</v>
      </c>
      <c r="H84" s="1" t="str">
        <f>[5]Sheet1!I84</f>
        <v xml:space="preserve">New position </v>
      </c>
    </row>
    <row r="85" spans="1:8" ht="24.95" customHeight="1">
      <c r="A85" s="1" t="str">
        <f>[5]Sheet1!B85</f>
        <v>Principal Technician</v>
      </c>
      <c r="B85" s="1" t="str">
        <f>[5]Sheet1!C85</f>
        <v>UR 5(i)RT</v>
      </c>
      <c r="C85" s="1">
        <f>[5]Sheet1!D85</f>
        <v>30</v>
      </c>
      <c r="D85" s="1">
        <f>[5]Sheet1!E85</f>
        <v>5</v>
      </c>
      <c r="E85" s="1">
        <f t="shared" si="1"/>
        <v>25</v>
      </c>
      <c r="F85" s="339">
        <f>[5]Sheet1!G85</f>
        <v>4000000</v>
      </c>
      <c r="G85" s="339">
        <f>[5]Sheet1!H85</f>
        <v>4500000</v>
      </c>
      <c r="H85" s="1" t="str">
        <f>[5]Sheet1!I85</f>
        <v xml:space="preserve">New position </v>
      </c>
    </row>
    <row r="86" spans="1:8" ht="24.95" customHeight="1">
      <c r="A86" s="1" t="str">
        <f>[5]Sheet1!B86</f>
        <v>Principal Technician-Tick Colony Management</v>
      </c>
      <c r="B86" s="1" t="str">
        <f>[5]Sheet1!C86</f>
        <v>UR 5(i)RT</v>
      </c>
      <c r="C86" s="1">
        <f>[5]Sheet1!D86</f>
        <v>2</v>
      </c>
      <c r="D86" s="1">
        <f>[5]Sheet1!E86</f>
        <v>0</v>
      </c>
      <c r="E86" s="1">
        <f t="shared" si="1"/>
        <v>2</v>
      </c>
      <c r="F86" s="339">
        <f>[5]Sheet1!G86</f>
        <v>4000000</v>
      </c>
      <c r="G86" s="339">
        <f>[5]Sheet1!H86</f>
        <v>4500000</v>
      </c>
      <c r="H86" s="1" t="str">
        <f>[5]Sheet1!I86</f>
        <v xml:space="preserve">New position </v>
      </c>
    </row>
    <row r="87" spans="1:8" ht="24.95" customHeight="1">
      <c r="A87" s="1" t="str">
        <f>[5]Sheet1!B87</f>
        <v>Principal Technician-Equipment</v>
      </c>
      <c r="B87" s="1" t="str">
        <f>[5]Sheet1!C87</f>
        <v>UR 5(i)RT</v>
      </c>
      <c r="C87" s="1">
        <f>[5]Sheet1!D87</f>
        <v>2</v>
      </c>
      <c r="D87" s="1">
        <f>[5]Sheet1!E87</f>
        <v>0</v>
      </c>
      <c r="E87" s="1">
        <f t="shared" si="1"/>
        <v>2</v>
      </c>
      <c r="F87" s="339">
        <f>[5]Sheet1!G87</f>
        <v>4000000</v>
      </c>
      <c r="G87" s="339">
        <f>[5]Sheet1!H87</f>
        <v>4500000</v>
      </c>
      <c r="H87" s="1" t="str">
        <f>[5]Sheet1!I87</f>
        <v xml:space="preserve">New position </v>
      </c>
    </row>
    <row r="88" spans="1:8" ht="24.95" customHeight="1">
      <c r="A88" s="1" t="str">
        <f>[5]Sheet1!B88</f>
        <v xml:space="preserve">Principal Technician-Vaccine Production </v>
      </c>
      <c r="B88" s="1" t="str">
        <f>[5]Sheet1!C88</f>
        <v>UR 5(i)RT</v>
      </c>
      <c r="C88" s="1">
        <f>[5]Sheet1!D88</f>
        <v>6</v>
      </c>
      <c r="D88" s="1">
        <f>[5]Sheet1!E88</f>
        <v>0</v>
      </c>
      <c r="E88" s="1">
        <f t="shared" si="1"/>
        <v>6</v>
      </c>
      <c r="F88" s="339">
        <f>[5]Sheet1!G88</f>
        <v>4000000</v>
      </c>
      <c r="G88" s="339">
        <f>[5]Sheet1!H88</f>
        <v>4500000</v>
      </c>
      <c r="H88" s="1" t="str">
        <f>[5]Sheet1!I88</f>
        <v xml:space="preserve">New position </v>
      </c>
    </row>
    <row r="89" spans="1:8" ht="24.95" customHeight="1">
      <c r="A89" s="1" t="str">
        <f>[5]Sheet1!B89</f>
        <v>Statistician</v>
      </c>
      <c r="B89" s="1" t="str">
        <f>[5]Sheet1!C89</f>
        <v>UR 5(i)RT</v>
      </c>
      <c r="C89" s="1">
        <f>[5]Sheet1!D89</f>
        <v>1</v>
      </c>
      <c r="D89" s="1">
        <f>[5]Sheet1!E89</f>
        <v>0</v>
      </c>
      <c r="E89" s="1">
        <f t="shared" si="1"/>
        <v>1</v>
      </c>
      <c r="F89" s="339">
        <f>[5]Sheet1!G89</f>
        <v>4000000</v>
      </c>
      <c r="G89" s="339">
        <f>[5]Sheet1!H89</f>
        <v>4500000</v>
      </c>
      <c r="H89" s="1">
        <f>[5]Sheet1!I89</f>
        <v>0</v>
      </c>
    </row>
    <row r="90" spans="1:8" ht="24.95" customHeight="1">
      <c r="A90" s="1" t="str">
        <f>[5]Sheet1!B90</f>
        <v>System Network Administrator</v>
      </c>
      <c r="B90" s="1" t="str">
        <f>[5]Sheet1!C90</f>
        <v>UR 5(ii)RT</v>
      </c>
      <c r="C90" s="1">
        <f>[5]Sheet1!D90</f>
        <v>1</v>
      </c>
      <c r="D90" s="1">
        <f>[5]Sheet1!E90</f>
        <v>0</v>
      </c>
      <c r="E90" s="1">
        <f t="shared" si="1"/>
        <v>1</v>
      </c>
      <c r="F90" s="339">
        <f>[5]Sheet1!G90</f>
        <v>3000000</v>
      </c>
      <c r="G90" s="339">
        <f>[5]Sheet1!H90</f>
        <v>3600000</v>
      </c>
      <c r="H90" s="1">
        <f>[5]Sheet1!I90</f>
        <v>0</v>
      </c>
    </row>
    <row r="91" spans="1:8" ht="24.95" customHeight="1">
      <c r="A91" s="1" t="str">
        <f>[5]Sheet1!B91</f>
        <v xml:space="preserve">Enviromental Safeguard Officer </v>
      </c>
      <c r="B91" s="1" t="str">
        <f>[5]Sheet1!C91</f>
        <v>UR 5(ii)RT</v>
      </c>
      <c r="C91" s="1">
        <f>[5]Sheet1!D91</f>
        <v>1</v>
      </c>
      <c r="D91" s="1">
        <f>[5]Sheet1!E91</f>
        <v>0</v>
      </c>
      <c r="E91" s="1">
        <f t="shared" si="1"/>
        <v>1</v>
      </c>
      <c r="F91" s="339">
        <f>[5]Sheet1!G91</f>
        <v>3000000</v>
      </c>
      <c r="G91" s="339">
        <f>[5]Sheet1!H91</f>
        <v>3600000</v>
      </c>
      <c r="H91" s="1" t="str">
        <f>[5]Sheet1!I91</f>
        <v xml:space="preserve">New position </v>
      </c>
    </row>
    <row r="92" spans="1:8" ht="24.95" customHeight="1">
      <c r="A92" s="1" t="str">
        <f>[5]Sheet1!B92</f>
        <v>Senior Technician</v>
      </c>
      <c r="B92" s="1" t="str">
        <f>[5]Sheet1!C92</f>
        <v>UR 5(ii)RT</v>
      </c>
      <c r="C92" s="1">
        <f>[5]Sheet1!D92</f>
        <v>85</v>
      </c>
      <c r="D92" s="1">
        <f>[5]Sheet1!E92</f>
        <v>11</v>
      </c>
      <c r="E92" s="1">
        <f t="shared" si="1"/>
        <v>74</v>
      </c>
      <c r="F92" s="339">
        <f>[5]Sheet1!G92</f>
        <v>3000000</v>
      </c>
      <c r="G92" s="339">
        <f>[5]Sheet1!H92</f>
        <v>3600000</v>
      </c>
      <c r="H92" s="1">
        <f>[5]Sheet1!I92</f>
        <v>0</v>
      </c>
    </row>
    <row r="93" spans="1:8" ht="24.95" customHeight="1">
      <c r="A93" s="447" t="str">
        <f>[5]Sheet1!B93</f>
        <v>Accountant</v>
      </c>
      <c r="B93" s="447" t="str">
        <f>[5]Sheet1!C93</f>
        <v>UR 5(i)Admin</v>
      </c>
      <c r="C93" s="447">
        <v>16</v>
      </c>
      <c r="D93" s="447">
        <v>15</v>
      </c>
      <c r="E93" s="447">
        <f t="shared" si="1"/>
        <v>1</v>
      </c>
      <c r="F93" s="448">
        <f>[5]Sheet1!G93</f>
        <v>3500000</v>
      </c>
      <c r="G93" s="448">
        <f>[5]Sheet1!H93</f>
        <v>3500000</v>
      </c>
      <c r="H93" s="447">
        <f>[5]Sheet1!I93</f>
        <v>0</v>
      </c>
    </row>
    <row r="94" spans="1:8" ht="24.95" customHeight="1">
      <c r="A94" s="1" t="str">
        <f>[5]Sheet1!B94</f>
        <v>Development Communication Officer</v>
      </c>
      <c r="B94" s="1" t="str">
        <f>[5]Sheet1!C94</f>
        <v>UR 5(i)Admin</v>
      </c>
      <c r="C94" s="1">
        <f>[5]Sheet1!D94</f>
        <v>12</v>
      </c>
      <c r="D94" s="1">
        <f>[5]Sheet1!E94</f>
        <v>12</v>
      </c>
      <c r="E94" s="1">
        <f t="shared" si="1"/>
        <v>0</v>
      </c>
      <c r="F94" s="339">
        <f>[5]Sheet1!G94</f>
        <v>3500000</v>
      </c>
      <c r="G94" s="339">
        <f>[5]Sheet1!H94</f>
        <v>3500000</v>
      </c>
      <c r="H94" s="1">
        <f>[5]Sheet1!I94</f>
        <v>0</v>
      </c>
    </row>
    <row r="95" spans="1:8" ht="24.95" customHeight="1">
      <c r="A95" s="1" t="str">
        <f>[5]Sheet1!B95</f>
        <v xml:space="preserve">Bio-Safety Secretary/Officer </v>
      </c>
      <c r="B95" s="1" t="str">
        <f>[5]Sheet1!C95</f>
        <v>UR 5(i)Admin</v>
      </c>
      <c r="C95" s="1">
        <f>[5]Sheet1!D95</f>
        <v>1</v>
      </c>
      <c r="D95" s="1">
        <f>[5]Sheet1!E95</f>
        <v>1</v>
      </c>
      <c r="E95" s="1">
        <f t="shared" si="1"/>
        <v>0</v>
      </c>
      <c r="F95" s="339">
        <f>[5]Sheet1!G95</f>
        <v>3500000</v>
      </c>
      <c r="G95" s="339">
        <f>[5]Sheet1!H95</f>
        <v>3500000</v>
      </c>
      <c r="H95" s="1" t="str">
        <f>[5]Sheet1!I95</f>
        <v xml:space="preserve">New position </v>
      </c>
    </row>
    <row r="96" spans="1:8" ht="24.95" customHeight="1">
      <c r="A96" s="1" t="str">
        <f>[5]Sheet1!B96</f>
        <v>Documentation Officer</v>
      </c>
      <c r="B96" s="1" t="str">
        <f>[5]Sheet1!C96</f>
        <v>UR 5(i)Admin</v>
      </c>
      <c r="C96" s="1">
        <f>[5]Sheet1!D96</f>
        <v>1</v>
      </c>
      <c r="D96" s="1">
        <f>[5]Sheet1!E96</f>
        <v>0</v>
      </c>
      <c r="E96" s="1">
        <f t="shared" si="1"/>
        <v>1</v>
      </c>
      <c r="F96" s="339">
        <f>[5]Sheet1!G96</f>
        <v>3500000</v>
      </c>
      <c r="G96" s="339">
        <f>[5]Sheet1!H96</f>
        <v>3500000</v>
      </c>
      <c r="H96" s="1">
        <f>[5]Sheet1!I96</f>
        <v>0</v>
      </c>
    </row>
    <row r="97" spans="1:9" ht="24.95" customHeight="1">
      <c r="A97" s="1" t="str">
        <f>[5]Sheet1!B97</f>
        <v>Estate Manager</v>
      </c>
      <c r="B97" s="1" t="str">
        <f>[5]Sheet1!C97</f>
        <v>UR 5(i)Admin</v>
      </c>
      <c r="C97" s="1">
        <f>[5]Sheet1!D97</f>
        <v>1</v>
      </c>
      <c r="D97" s="1">
        <f>[5]Sheet1!E97</f>
        <v>0</v>
      </c>
      <c r="E97" s="1">
        <f t="shared" si="1"/>
        <v>1</v>
      </c>
      <c r="F97" s="339">
        <f>[5]Sheet1!G97</f>
        <v>3500000</v>
      </c>
      <c r="G97" s="339">
        <f>[5]Sheet1!H97</f>
        <v>3500000</v>
      </c>
      <c r="H97" s="1">
        <f>[5]Sheet1!I97</f>
        <v>0</v>
      </c>
    </row>
    <row r="98" spans="1:9" ht="24.95" customHeight="1">
      <c r="A98" s="1" t="str">
        <f>[5]Sheet1!B98</f>
        <v>Gender Officer</v>
      </c>
      <c r="B98" s="1" t="str">
        <f>[5]Sheet1!C98</f>
        <v>UR 5(i)Admin</v>
      </c>
      <c r="C98" s="1">
        <f>[5]Sheet1!D98</f>
        <v>1</v>
      </c>
      <c r="D98" s="1">
        <f>[5]Sheet1!E98</f>
        <v>0</v>
      </c>
      <c r="E98" s="1">
        <f t="shared" si="1"/>
        <v>1</v>
      </c>
      <c r="F98" s="339">
        <f>[5]Sheet1!G98</f>
        <v>3500000</v>
      </c>
      <c r="G98" s="339">
        <f>[5]Sheet1!H98</f>
        <v>3500000</v>
      </c>
      <c r="H98" s="1">
        <f>[5]Sheet1!I98</f>
        <v>0</v>
      </c>
      <c r="I98" t="s">
        <v>1949</v>
      </c>
    </row>
    <row r="99" spans="1:9" ht="24.95" customHeight="1">
      <c r="A99" s="1" t="str">
        <f>[5]Sheet1!B99</f>
        <v>Human Resource &amp; Administrative Officer</v>
      </c>
      <c r="B99" s="1" t="str">
        <f>[5]Sheet1!C99</f>
        <v>UR 5(i)Admin</v>
      </c>
      <c r="C99" s="1">
        <f>[5]Sheet1!D99</f>
        <v>9</v>
      </c>
      <c r="D99" s="1">
        <f>[5]Sheet1!E99</f>
        <v>8</v>
      </c>
      <c r="E99" s="1">
        <f t="shared" si="1"/>
        <v>1</v>
      </c>
      <c r="F99" s="339">
        <f>[5]Sheet1!G99</f>
        <v>3500000</v>
      </c>
      <c r="G99" s="339">
        <f>[5]Sheet1!H99</f>
        <v>3500000</v>
      </c>
      <c r="H99" s="1">
        <f>[5]Sheet1!I99</f>
        <v>0</v>
      </c>
    </row>
    <row r="100" spans="1:9" ht="24.95" customHeight="1">
      <c r="A100" s="1" t="str">
        <f>[5]Sheet1!B100</f>
        <v>Internal Auditor</v>
      </c>
      <c r="B100" s="1" t="str">
        <f>[5]Sheet1!C100</f>
        <v>UR 5(i)Admin</v>
      </c>
      <c r="C100" s="1">
        <f>[5]Sheet1!D100</f>
        <v>9</v>
      </c>
      <c r="D100" s="1">
        <f>[5]Sheet1!E100</f>
        <v>9</v>
      </c>
      <c r="E100" s="1">
        <f t="shared" si="1"/>
        <v>0</v>
      </c>
      <c r="F100" s="339">
        <f>[5]Sheet1!G100</f>
        <v>3500000</v>
      </c>
      <c r="G100" s="339">
        <f>[5]Sheet1!H100</f>
        <v>3500000</v>
      </c>
      <c r="H100" s="1">
        <f>[5]Sheet1!I100</f>
        <v>0</v>
      </c>
    </row>
    <row r="101" spans="1:9" ht="24.95" customHeight="1">
      <c r="A101" s="1" t="str">
        <f>[5]Sheet1!B101</f>
        <v>Legal  Officer</v>
      </c>
      <c r="B101" s="1" t="str">
        <f>[5]Sheet1!C101</f>
        <v>UR 5(i)Admin</v>
      </c>
      <c r="C101" s="1">
        <f>[5]Sheet1!D101</f>
        <v>1</v>
      </c>
      <c r="D101" s="1">
        <f>[5]Sheet1!E101</f>
        <v>0</v>
      </c>
      <c r="E101" s="1">
        <f t="shared" si="1"/>
        <v>1</v>
      </c>
      <c r="F101" s="339">
        <f>[5]Sheet1!G101</f>
        <v>3500000</v>
      </c>
      <c r="G101" s="339">
        <f>[5]Sheet1!H101</f>
        <v>3500000</v>
      </c>
      <c r="H101" s="1" t="str">
        <f>[5]Sheet1!I101</f>
        <v xml:space="preserve">New position </v>
      </c>
    </row>
    <row r="102" spans="1:9" ht="24.95" customHeight="1">
      <c r="A102" s="1" t="str">
        <f>[5]Sheet1!B102</f>
        <v>Librarian</v>
      </c>
      <c r="B102" s="1" t="str">
        <f>[5]Sheet1!C102</f>
        <v>UR 5(i)Admin</v>
      </c>
      <c r="C102" s="1">
        <f>[5]Sheet1!D102</f>
        <v>1</v>
      </c>
      <c r="D102" s="1">
        <f>[5]Sheet1!E102</f>
        <v>1</v>
      </c>
      <c r="E102" s="1">
        <f t="shared" si="1"/>
        <v>0</v>
      </c>
      <c r="F102" s="339">
        <f>[5]Sheet1!G102</f>
        <v>3500000</v>
      </c>
      <c r="G102" s="339">
        <f>[5]Sheet1!H102</f>
        <v>3500000</v>
      </c>
      <c r="H102" s="1">
        <f>[5]Sheet1!I102</f>
        <v>0</v>
      </c>
    </row>
    <row r="103" spans="1:9" ht="24.95" customHeight="1">
      <c r="A103" s="1" t="str">
        <f>[5]Sheet1!B103</f>
        <v>Procurement Officer</v>
      </c>
      <c r="B103" s="1" t="str">
        <f>[5]Sheet1!C103</f>
        <v>UR 5(i)Admin</v>
      </c>
      <c r="C103" s="1">
        <f>[5]Sheet1!D103</f>
        <v>10</v>
      </c>
      <c r="D103" s="1">
        <f>[5]Sheet1!E103</f>
        <v>13</v>
      </c>
      <c r="E103" s="1">
        <f t="shared" si="1"/>
        <v>-3</v>
      </c>
      <c r="F103" s="339">
        <f>[5]Sheet1!G103</f>
        <v>3500000</v>
      </c>
      <c r="G103" s="339">
        <f>[5]Sheet1!H103</f>
        <v>3500000</v>
      </c>
      <c r="H103" s="1">
        <f>[5]Sheet1!I103</f>
        <v>0</v>
      </c>
    </row>
    <row r="104" spans="1:9" ht="24.95" customHeight="1">
      <c r="A104" s="1" t="str">
        <f>[5]Sheet1!B104</f>
        <v xml:space="preserve">Records Officer </v>
      </c>
      <c r="B104" s="1" t="str">
        <f>[5]Sheet1!C104</f>
        <v>UR 5(i)Admin</v>
      </c>
      <c r="C104" s="1">
        <f>[5]Sheet1!D104</f>
        <v>1</v>
      </c>
      <c r="D104" s="1">
        <f>[5]Sheet1!E104</f>
        <v>1</v>
      </c>
      <c r="E104" s="1">
        <f t="shared" si="1"/>
        <v>0</v>
      </c>
      <c r="F104" s="339">
        <f>[5]Sheet1!G104</f>
        <v>3500000</v>
      </c>
      <c r="G104" s="339">
        <f>[5]Sheet1!H104</f>
        <v>3500000</v>
      </c>
      <c r="H104" s="1">
        <f>[5]Sheet1!I104</f>
        <v>0</v>
      </c>
    </row>
    <row r="105" spans="1:9" ht="24.95" customHeight="1">
      <c r="A105" s="1" t="str">
        <f>[5]Sheet1!B105</f>
        <v>Senior Administrative Assistant Grade I</v>
      </c>
      <c r="B105" s="1" t="str">
        <f>[5]Sheet1!C105</f>
        <v>UR 5(i)Admin</v>
      </c>
      <c r="C105" s="1">
        <f>[5]Sheet1!D105</f>
        <v>13</v>
      </c>
      <c r="D105" s="1">
        <f>[5]Sheet1!E105</f>
        <v>12</v>
      </c>
      <c r="E105" s="1">
        <f t="shared" si="1"/>
        <v>1</v>
      </c>
      <c r="F105" s="339">
        <f>[5]Sheet1!G105</f>
        <v>3500000</v>
      </c>
      <c r="G105" s="339">
        <f>[5]Sheet1!H105</f>
        <v>3500000</v>
      </c>
      <c r="H105" s="1">
        <f>[5]Sheet1!I105</f>
        <v>0</v>
      </c>
    </row>
    <row r="106" spans="1:9" ht="24.95" customHeight="1">
      <c r="A106" s="1" t="s">
        <v>1882</v>
      </c>
      <c r="B106" s="1" t="str">
        <f>[5]Sheet1!C106</f>
        <v>UR 5(ii)Admin</v>
      </c>
      <c r="C106" s="1">
        <v>8</v>
      </c>
      <c r="D106" s="1">
        <v>5</v>
      </c>
      <c r="E106" s="1">
        <f t="shared" si="1"/>
        <v>3</v>
      </c>
      <c r="F106" s="339">
        <f>[5]Sheet1!G106</f>
        <v>2500000</v>
      </c>
      <c r="G106" s="339">
        <f>[5]Sheet1!H106</f>
        <v>2500000</v>
      </c>
      <c r="H106" s="1">
        <f>[5]Sheet1!I106</f>
        <v>0</v>
      </c>
    </row>
    <row r="107" spans="1:9" ht="24.95" customHeight="1">
      <c r="A107" s="1" t="str">
        <f>[5]Sheet1!B107</f>
        <v>Inventory Management Officer</v>
      </c>
      <c r="B107" s="1" t="str">
        <f>[5]Sheet1!C107</f>
        <v>UR 5(i)Admin</v>
      </c>
      <c r="C107" s="1">
        <f>[5]Sheet1!D107</f>
        <v>2</v>
      </c>
      <c r="D107" s="1">
        <f>[5]Sheet1!E107</f>
        <v>0</v>
      </c>
      <c r="E107" s="1">
        <f t="shared" si="1"/>
        <v>2</v>
      </c>
      <c r="F107" s="339">
        <f>[5]Sheet1!G107</f>
        <v>3500000</v>
      </c>
      <c r="G107" s="339">
        <f>[5]Sheet1!H107</f>
        <v>3500000</v>
      </c>
      <c r="H107" s="1" t="str">
        <f>[5]Sheet1!I107</f>
        <v>upgraded salary scale</v>
      </c>
    </row>
    <row r="108" spans="1:9" ht="24.95" customHeight="1">
      <c r="A108" s="1" t="str">
        <f>[5]Sheet1!B109</f>
        <v>Assistant Inventory Management Officer</v>
      </c>
      <c r="B108" s="1" t="str">
        <f>[5]Sheet1!C109</f>
        <v>UR 6Admin</v>
      </c>
      <c r="C108" s="1">
        <f>[5]Sheet1!D109</f>
        <v>12</v>
      </c>
      <c r="D108" s="1">
        <v>8</v>
      </c>
      <c r="E108" s="1">
        <f t="shared" si="1"/>
        <v>4</v>
      </c>
      <c r="F108" s="339">
        <f>[5]Sheet1!G109</f>
        <v>1800000</v>
      </c>
      <c r="G108" s="339">
        <f>[5]Sheet1!H109</f>
        <v>1800000</v>
      </c>
      <c r="H108" s="1">
        <f>[5]Sheet1!I109</f>
        <v>0</v>
      </c>
    </row>
    <row r="109" spans="1:9" ht="24.95" customHeight="1">
      <c r="A109" s="1" t="str">
        <f>[5]Sheet1!B110</f>
        <v>Estate Maintainance Officer</v>
      </c>
      <c r="B109" s="1" t="str">
        <f>[5]Sheet1!C110</f>
        <v>UR 5(i)Admin</v>
      </c>
      <c r="C109" s="1">
        <f>[5]Sheet1!D110</f>
        <v>1</v>
      </c>
      <c r="D109" s="1">
        <f>[5]Sheet1!E110</f>
        <v>0</v>
      </c>
      <c r="E109" s="1">
        <f t="shared" si="1"/>
        <v>1</v>
      </c>
      <c r="F109" s="339">
        <f>[5]Sheet1!G110</f>
        <v>3500000</v>
      </c>
      <c r="G109" s="339">
        <f>[5]Sheet1!H110</f>
        <v>3500000</v>
      </c>
      <c r="H109" s="1">
        <f>[5]Sheet1!I110</f>
        <v>0</v>
      </c>
    </row>
    <row r="110" spans="1:9" ht="24.95" customHeight="1">
      <c r="A110" s="1" t="str">
        <f>[5]Sheet1!B111</f>
        <v>Senior Administrative Assistant G.II</v>
      </c>
      <c r="B110" s="1" t="str">
        <f>[5]Sheet1!C111</f>
        <v>UR 5(ii)Admin</v>
      </c>
      <c r="C110" s="1">
        <f>[5]Sheet1!D111</f>
        <v>16</v>
      </c>
      <c r="D110" s="1">
        <f>[5]Sheet1!E111</f>
        <v>14</v>
      </c>
      <c r="E110" s="1">
        <f t="shared" si="1"/>
        <v>2</v>
      </c>
      <c r="F110" s="339">
        <f>[5]Sheet1!G111</f>
        <v>2500000</v>
      </c>
      <c r="G110" s="339">
        <f>[5]Sheet1!H111</f>
        <v>2500000</v>
      </c>
      <c r="H110" s="1">
        <f>[5]Sheet1!I111</f>
        <v>0</v>
      </c>
    </row>
    <row r="111" spans="1:9" ht="24.95" customHeight="1">
      <c r="A111" s="1" t="str">
        <f>[5]Sheet1!B112</f>
        <v>Senior Assistant Accountant</v>
      </c>
      <c r="B111" s="1" t="str">
        <f>[5]Sheet1!C112</f>
        <v>UR 5(ii)Admin</v>
      </c>
      <c r="C111" s="1">
        <f>[5]Sheet1!D112</f>
        <v>19</v>
      </c>
      <c r="D111" s="1">
        <v>16</v>
      </c>
      <c r="E111" s="1">
        <f t="shared" si="1"/>
        <v>3</v>
      </c>
      <c r="F111" s="339">
        <f>[5]Sheet1!G112</f>
        <v>2500000</v>
      </c>
      <c r="G111" s="339">
        <f>[5]Sheet1!H112</f>
        <v>2500000</v>
      </c>
      <c r="H111" s="1">
        <f>[5]Sheet1!I112</f>
        <v>0</v>
      </c>
    </row>
    <row r="112" spans="1:9" ht="24.95" customHeight="1">
      <c r="A112" s="1" t="str">
        <f>[5]Sheet1!B113</f>
        <v>Assistant Farm Manager</v>
      </c>
      <c r="B112" s="1" t="str">
        <f>[5]Sheet1!C113</f>
        <v>UR 6RT</v>
      </c>
      <c r="C112" s="1">
        <f>[5]Sheet1!D113</f>
        <v>3</v>
      </c>
      <c r="D112" s="1">
        <f>[5]Sheet1!E113</f>
        <v>0</v>
      </c>
      <c r="E112" s="1">
        <f t="shared" si="1"/>
        <v>3</v>
      </c>
      <c r="F112" s="339">
        <f>[5]Sheet1!G113</f>
        <v>2300000</v>
      </c>
      <c r="G112" s="339">
        <f>[5]Sheet1!H113</f>
        <v>2600000</v>
      </c>
      <c r="H112" s="1">
        <f>[5]Sheet1!I113</f>
        <v>0</v>
      </c>
    </row>
    <row r="113" spans="1:8" ht="24.95" customHeight="1">
      <c r="A113" s="1" t="str">
        <f>[5]Sheet1!B114</f>
        <v>Assistant Farm Manager -Irrigation Engineering</v>
      </c>
      <c r="B113" s="1" t="str">
        <f>[5]Sheet1!C114</f>
        <v>UR 6RT</v>
      </c>
      <c r="C113" s="1">
        <f>[5]Sheet1!D114</f>
        <v>1</v>
      </c>
      <c r="D113" s="1">
        <f>[5]Sheet1!E114</f>
        <v>0</v>
      </c>
      <c r="E113" s="1">
        <f t="shared" si="1"/>
        <v>1</v>
      </c>
      <c r="F113" s="339">
        <f>[5]Sheet1!G114</f>
        <v>2300000</v>
      </c>
      <c r="G113" s="339">
        <f>[5]Sheet1!H114</f>
        <v>2600000</v>
      </c>
      <c r="H113" s="1">
        <f>[5]Sheet1!I114</f>
        <v>0</v>
      </c>
    </row>
    <row r="114" spans="1:8" ht="24.95" customHeight="1">
      <c r="A114" s="1" t="str">
        <f>[5]Sheet1!B115</f>
        <v>Commercialisation Officer</v>
      </c>
      <c r="B114" s="1" t="str">
        <f>[5]Sheet1!C115</f>
        <v>UR 6RT</v>
      </c>
      <c r="C114" s="1">
        <f>[5]Sheet1!D115</f>
        <v>1</v>
      </c>
      <c r="D114" s="1">
        <f>[5]Sheet1!E115</f>
        <v>0</v>
      </c>
      <c r="E114" s="1">
        <f t="shared" si="1"/>
        <v>1</v>
      </c>
      <c r="F114" s="339">
        <f>[5]Sheet1!G115</f>
        <v>2300000</v>
      </c>
      <c r="G114" s="339">
        <f>[5]Sheet1!H115</f>
        <v>2600000</v>
      </c>
      <c r="H114" s="1" t="str">
        <f>[5]Sheet1!I115</f>
        <v xml:space="preserve">New position </v>
      </c>
    </row>
    <row r="115" spans="1:8" ht="24.95" customHeight="1">
      <c r="A115" s="1" t="str">
        <f>[5]Sheet1!B116</f>
        <v>Marine Technician</v>
      </c>
      <c r="B115" s="1" t="str">
        <f>[5]Sheet1!C116</f>
        <v>UR 6RT</v>
      </c>
      <c r="C115" s="1">
        <f>[5]Sheet1!D116</f>
        <v>2</v>
      </c>
      <c r="D115" s="1">
        <f>[5]Sheet1!E116</f>
        <v>1</v>
      </c>
      <c r="E115" s="1">
        <f t="shared" si="1"/>
        <v>1</v>
      </c>
      <c r="F115" s="339">
        <f>[5]Sheet1!G116</f>
        <v>2300000</v>
      </c>
      <c r="G115" s="339">
        <f>[5]Sheet1!H116</f>
        <v>2600000</v>
      </c>
      <c r="H115" s="1">
        <f>[5]Sheet1!I116</f>
        <v>0</v>
      </c>
    </row>
    <row r="116" spans="1:8" ht="24.95" customHeight="1">
      <c r="A116" s="1" t="str">
        <f>[5]Sheet1!B117</f>
        <v>Mechanical Technician</v>
      </c>
      <c r="B116" s="1" t="str">
        <f>[5]Sheet1!C117</f>
        <v>UR 6RT</v>
      </c>
      <c r="C116" s="1">
        <f>[5]Sheet1!D117</f>
        <v>1</v>
      </c>
      <c r="D116" s="1">
        <f>[5]Sheet1!E117</f>
        <v>0</v>
      </c>
      <c r="E116" s="1">
        <f t="shared" si="1"/>
        <v>1</v>
      </c>
      <c r="F116" s="339">
        <f>[5]Sheet1!G117</f>
        <v>2300000</v>
      </c>
      <c r="G116" s="339">
        <f>[5]Sheet1!H117</f>
        <v>2600000</v>
      </c>
      <c r="H116" s="1">
        <f>[5]Sheet1!I117</f>
        <v>0</v>
      </c>
    </row>
    <row r="117" spans="1:8" ht="24.95" customHeight="1">
      <c r="A117" s="1" t="str">
        <f>[5]Sheet1!B118</f>
        <v>Technician</v>
      </c>
      <c r="B117" s="1" t="str">
        <f>[5]Sheet1!C118</f>
        <v>UR 6RT</v>
      </c>
      <c r="C117" s="1">
        <f>[5]Sheet1!D118</f>
        <v>143</v>
      </c>
      <c r="D117" s="1">
        <v>89</v>
      </c>
      <c r="E117" s="1">
        <f t="shared" si="1"/>
        <v>54</v>
      </c>
      <c r="F117" s="339">
        <f>[5]Sheet1!G118</f>
        <v>2300000</v>
      </c>
      <c r="G117" s="339">
        <f>[5]Sheet1!H118</f>
        <v>2600000</v>
      </c>
      <c r="H117" s="1">
        <f>[5]Sheet1!I118</f>
        <v>0</v>
      </c>
    </row>
    <row r="118" spans="1:8" ht="24.95" customHeight="1">
      <c r="A118" s="447" t="str">
        <f>[5]Sheet1!B119</f>
        <v xml:space="preserve">Administrative Assistant </v>
      </c>
      <c r="B118" s="447" t="str">
        <f>[5]Sheet1!C119</f>
        <v>UR 6Admin</v>
      </c>
      <c r="C118" s="447">
        <f>[5]Sheet1!D119</f>
        <v>7</v>
      </c>
      <c r="D118" s="447">
        <v>7</v>
      </c>
      <c r="E118" s="447">
        <f t="shared" si="1"/>
        <v>0</v>
      </c>
      <c r="F118" s="448">
        <f>[5]Sheet1!G119</f>
        <v>1800000</v>
      </c>
      <c r="G118" s="448">
        <f>[5]Sheet1!H119</f>
        <v>1800000</v>
      </c>
      <c r="H118" s="1">
        <f>[5]Sheet1!I119</f>
        <v>0</v>
      </c>
    </row>
    <row r="119" spans="1:8" ht="24.95" customHeight="1">
      <c r="A119" s="448" t="str">
        <f>[5]Sheet1!B120</f>
        <v>Assistant Accountant</v>
      </c>
      <c r="B119" s="448" t="str">
        <f>[5]Sheet1!C120</f>
        <v>UR 6Admin</v>
      </c>
      <c r="C119" s="448">
        <v>23</v>
      </c>
      <c r="D119" s="448">
        <v>15</v>
      </c>
      <c r="E119" s="447">
        <f t="shared" si="1"/>
        <v>8</v>
      </c>
      <c r="F119" s="448">
        <f>[5]Sheet1!G120</f>
        <v>1800000</v>
      </c>
      <c r="G119" s="448">
        <f>[5]Sheet1!H120</f>
        <v>1800000</v>
      </c>
      <c r="H119" s="1">
        <f>[5]Sheet1!I120</f>
        <v>0</v>
      </c>
    </row>
    <row r="120" spans="1:8" ht="24.95" customHeight="1">
      <c r="A120" s="1" t="str">
        <f>[5]Sheet1!B121</f>
        <v>Assistant Records Officer</v>
      </c>
      <c r="B120" s="1" t="str">
        <f>[5]Sheet1!C121</f>
        <v>UR 6Admin</v>
      </c>
      <c r="C120" s="1">
        <f>[5]Sheet1!D121</f>
        <v>1</v>
      </c>
      <c r="D120" s="1">
        <f>[5]Sheet1!E121</f>
        <v>1</v>
      </c>
      <c r="E120" s="1">
        <f t="shared" si="1"/>
        <v>0</v>
      </c>
      <c r="F120" s="339">
        <f>[5]Sheet1!G121</f>
        <v>1800000</v>
      </c>
      <c r="G120" s="339">
        <f>[5]Sheet1!H121</f>
        <v>3500000</v>
      </c>
      <c r="H120" s="1">
        <f>[5]Sheet1!I121</f>
        <v>0</v>
      </c>
    </row>
    <row r="121" spans="1:8" ht="24.95" customHeight="1">
      <c r="A121" s="1" t="str">
        <f>[5]Sheet1!B122</f>
        <v>Assistant Estate Manager</v>
      </c>
      <c r="B121" s="1" t="str">
        <f>[5]Sheet1!C122</f>
        <v>UR 6Admin</v>
      </c>
      <c r="C121" s="1">
        <f>[5]Sheet1!D122</f>
        <v>1</v>
      </c>
      <c r="D121" s="1">
        <f>[5]Sheet1!E122</f>
        <v>1</v>
      </c>
      <c r="E121" s="1">
        <f t="shared" si="1"/>
        <v>0</v>
      </c>
      <c r="F121" s="339">
        <f>[5]Sheet1!G122</f>
        <v>1800000</v>
      </c>
      <c r="G121" s="339">
        <f>[5]Sheet1!H122</f>
        <v>1800000</v>
      </c>
      <c r="H121" s="1">
        <f>[5]Sheet1!I122</f>
        <v>0</v>
      </c>
    </row>
    <row r="122" spans="1:8" ht="24.95" customHeight="1">
      <c r="A122" s="1" t="str">
        <f>[5]Sheet1!B123</f>
        <v>Assistant Inventory Management Officer</v>
      </c>
      <c r="B122" s="1" t="str">
        <f>[5]Sheet1!C123</f>
        <v>UR 6Admin</v>
      </c>
      <c r="C122" s="1">
        <v>12</v>
      </c>
      <c r="D122" s="1">
        <v>8</v>
      </c>
      <c r="E122" s="1">
        <f t="shared" si="1"/>
        <v>4</v>
      </c>
      <c r="F122" s="339">
        <f>[5]Sheet1!G123</f>
        <v>1800000</v>
      </c>
      <c r="G122" s="339">
        <f>[5]Sheet1!H123</f>
        <v>1800000</v>
      </c>
      <c r="H122" s="1">
        <f>[5]Sheet1!I123</f>
        <v>0</v>
      </c>
    </row>
    <row r="123" spans="1:8" ht="24.95" customHeight="1">
      <c r="A123" s="1" t="str">
        <f>[5]Sheet1!B124</f>
        <v>Records Assistant</v>
      </c>
      <c r="B123" s="1" t="str">
        <f>[5]Sheet1!C124</f>
        <v>UR 6Admin</v>
      </c>
      <c r="C123" s="1">
        <f>[5]Sheet1!D124</f>
        <v>3</v>
      </c>
      <c r="D123" s="1">
        <f>[5]Sheet1!E124</f>
        <v>3</v>
      </c>
      <c r="E123" s="1">
        <f t="shared" si="1"/>
        <v>0</v>
      </c>
      <c r="F123" s="339">
        <f>[5]Sheet1!G124</f>
        <v>1800000</v>
      </c>
      <c r="G123" s="339">
        <f>[5]Sheet1!H124</f>
        <v>1800000</v>
      </c>
      <c r="H123" s="1">
        <f>[5]Sheet1!I124</f>
        <v>0</v>
      </c>
    </row>
    <row r="124" spans="1:8" ht="24.95" customHeight="1">
      <c r="A124" s="1" t="str">
        <f>[5]Sheet1!B125</f>
        <v>Electrician</v>
      </c>
      <c r="B124" s="1" t="str">
        <f>[5]Sheet1!C125</f>
        <v>UR 6Admin</v>
      </c>
      <c r="C124" s="1">
        <f>[5]Sheet1!D125</f>
        <v>2</v>
      </c>
      <c r="D124" s="1">
        <f>[5]Sheet1!E125</f>
        <v>1</v>
      </c>
      <c r="E124" s="1">
        <f t="shared" si="1"/>
        <v>1</v>
      </c>
      <c r="F124" s="339">
        <f>[5]Sheet1!G125</f>
        <v>1800000</v>
      </c>
      <c r="G124" s="339">
        <f>[5]Sheet1!H125</f>
        <v>1800000</v>
      </c>
      <c r="H124" s="1">
        <f>[5]Sheet1!I125</f>
        <v>0</v>
      </c>
    </row>
    <row r="125" spans="1:8" ht="24.95" customHeight="1">
      <c r="A125" s="1" t="str">
        <f>[5]Sheet1!B126</f>
        <v>Workshop Supervisor</v>
      </c>
      <c r="B125" s="1" t="str">
        <f>[5]Sheet1!C126</f>
        <v>UR 6Admin</v>
      </c>
      <c r="C125" s="1">
        <f>[5]Sheet1!D126</f>
        <v>1</v>
      </c>
      <c r="D125" s="1">
        <f>[5]Sheet1!E126</f>
        <v>0</v>
      </c>
      <c r="E125" s="1">
        <f t="shared" si="1"/>
        <v>1</v>
      </c>
      <c r="F125" s="339">
        <f>[5]Sheet1!G126</f>
        <v>1800000</v>
      </c>
      <c r="G125" s="339">
        <f>[5]Sheet1!H126</f>
        <v>1800000</v>
      </c>
      <c r="H125" s="1">
        <f>[5]Sheet1!I126</f>
        <v>0</v>
      </c>
    </row>
    <row r="126" spans="1:8" ht="24.95" customHeight="1">
      <c r="A126" s="1" t="str">
        <f>[5]Sheet1!B127</f>
        <v xml:space="preserve">Drivers </v>
      </c>
      <c r="B126" s="1" t="str">
        <f>[5]Sheet1!C127</f>
        <v>UR 7</v>
      </c>
      <c r="C126" s="1">
        <f>[5]Sheet1!D127</f>
        <v>88</v>
      </c>
      <c r="D126" s="1">
        <f>[5]Sheet1!E127</f>
        <v>69</v>
      </c>
      <c r="E126" s="1">
        <f t="shared" si="1"/>
        <v>19</v>
      </c>
      <c r="F126" s="339">
        <f>[5]Sheet1!G127</f>
        <v>1300000</v>
      </c>
      <c r="G126" s="339">
        <f>[5]Sheet1!H127</f>
        <v>1300000</v>
      </c>
      <c r="H126" s="1">
        <f>[5]Sheet1!I127</f>
        <v>0</v>
      </c>
    </row>
    <row r="127" spans="1:8" ht="24.95" customHeight="1">
      <c r="A127" s="1" t="str">
        <f>[5]Sheet1!B128</f>
        <v>Carpenter</v>
      </c>
      <c r="B127" s="1" t="str">
        <f>[5]Sheet1!C128</f>
        <v>UR 7</v>
      </c>
      <c r="C127" s="1">
        <f>[5]Sheet1!D128</f>
        <v>3</v>
      </c>
      <c r="D127" s="1">
        <f>[5]Sheet1!E128</f>
        <v>0</v>
      </c>
      <c r="E127" s="1">
        <f t="shared" si="1"/>
        <v>3</v>
      </c>
      <c r="F127" s="339">
        <f>[5]Sheet1!G128</f>
        <v>1300000</v>
      </c>
      <c r="G127" s="339">
        <f>[5]Sheet1!H128</f>
        <v>1300000</v>
      </c>
      <c r="H127" s="1">
        <f>[5]Sheet1!I128</f>
        <v>0</v>
      </c>
    </row>
    <row r="128" spans="1:8" ht="24.95" customHeight="1">
      <c r="A128" s="1" t="str">
        <f>[5]Sheet1!B129</f>
        <v>Coxswain/Deckhand</v>
      </c>
      <c r="B128" s="1" t="str">
        <f>[5]Sheet1!C129</f>
        <v>UR 7</v>
      </c>
      <c r="C128" s="1">
        <f>[5]Sheet1!D129</f>
        <v>4</v>
      </c>
      <c r="D128" s="1">
        <f>[5]Sheet1!E129</f>
        <v>2</v>
      </c>
      <c r="E128" s="1">
        <f t="shared" si="1"/>
        <v>2</v>
      </c>
      <c r="F128" s="339">
        <f>[5]Sheet1!G129</f>
        <v>1300000</v>
      </c>
      <c r="G128" s="339">
        <f>[5]Sheet1!H129</f>
        <v>1300000</v>
      </c>
      <c r="H128" s="1">
        <f>[5]Sheet1!I129</f>
        <v>0</v>
      </c>
    </row>
    <row r="129" spans="1:8" ht="24.95" customHeight="1">
      <c r="A129" s="1" t="str">
        <f>[5]Sheet1!B130</f>
        <v xml:space="preserve">Kitchen Attendant </v>
      </c>
      <c r="B129" s="1" t="str">
        <f>[5]Sheet1!C130</f>
        <v>UR 7</v>
      </c>
      <c r="C129" s="1">
        <f>[5]Sheet1!D130</f>
        <v>2</v>
      </c>
      <c r="D129" s="1">
        <f>[5]Sheet1!E130</f>
        <v>2</v>
      </c>
      <c r="E129" s="1">
        <f t="shared" si="1"/>
        <v>0</v>
      </c>
      <c r="F129" s="339">
        <f>[5]Sheet1!G130</f>
        <v>1300000</v>
      </c>
      <c r="G129" s="339">
        <f>[5]Sheet1!H130</f>
        <v>1300000</v>
      </c>
      <c r="H129" s="1" t="str">
        <f>[5]Sheet1!I130</f>
        <v>changed nomeclature</v>
      </c>
    </row>
    <row r="130" spans="1:8" ht="24.95" customHeight="1">
      <c r="A130" s="1" t="str">
        <f>[5]Sheet1!B131</f>
        <v>Mechanic</v>
      </c>
      <c r="B130" s="1" t="str">
        <f>[5]Sheet1!C131</f>
        <v>UR 7</v>
      </c>
      <c r="C130" s="1">
        <f>[5]Sheet1!D131</f>
        <v>5</v>
      </c>
      <c r="D130" s="1">
        <f>[5]Sheet1!E131</f>
        <v>1</v>
      </c>
      <c r="E130" s="1">
        <f t="shared" si="1"/>
        <v>4</v>
      </c>
      <c r="F130" s="339">
        <f>[5]Sheet1!G131</f>
        <v>1300000</v>
      </c>
      <c r="G130" s="339">
        <f>[5]Sheet1!H131</f>
        <v>1300000</v>
      </c>
      <c r="H130" s="1">
        <f>[5]Sheet1!I131</f>
        <v>0</v>
      </c>
    </row>
    <row r="131" spans="1:8" ht="24.95" customHeight="1">
      <c r="A131" s="1" t="str">
        <f>[5]Sheet1!B132</f>
        <v>Plumber</v>
      </c>
      <c r="B131" s="1" t="str">
        <f>[5]Sheet1!C132</f>
        <v>UR 7</v>
      </c>
      <c r="C131" s="1">
        <f>[5]Sheet1!D132</f>
        <v>2</v>
      </c>
      <c r="D131" s="1">
        <f>[5]Sheet1!E132</f>
        <v>1</v>
      </c>
      <c r="E131" s="1">
        <f t="shared" si="1"/>
        <v>1</v>
      </c>
      <c r="F131" s="339">
        <f>[5]Sheet1!G132</f>
        <v>1300000</v>
      </c>
      <c r="G131" s="339">
        <f>[5]Sheet1!H132</f>
        <v>1300000</v>
      </c>
      <c r="H131" s="1">
        <f>[5]Sheet1!I132</f>
        <v>0</v>
      </c>
    </row>
    <row r="132" spans="1:8" ht="24.95" customHeight="1">
      <c r="A132" s="1" t="str">
        <f>[5]Sheet1!B133</f>
        <v xml:space="preserve">Saw Doctor </v>
      </c>
      <c r="B132" s="1" t="str">
        <f>[5]Sheet1!C133</f>
        <v>UR 7</v>
      </c>
      <c r="C132" s="1">
        <f>[5]Sheet1!D133</f>
        <v>1</v>
      </c>
      <c r="D132" s="1">
        <f>[5]Sheet1!E133</f>
        <v>1</v>
      </c>
      <c r="E132" s="1">
        <f t="shared" ref="E132:E138" si="2">(C132-D132)</f>
        <v>0</v>
      </c>
      <c r="F132" s="339">
        <f>[5]Sheet1!G133</f>
        <v>1300000</v>
      </c>
      <c r="G132" s="339">
        <f>[5]Sheet1!H133</f>
        <v>1300000</v>
      </c>
      <c r="H132" s="1" t="str">
        <f>[5]Sheet1!I133</f>
        <v xml:space="preserve">New position </v>
      </c>
    </row>
    <row r="133" spans="1:8" ht="24.95" customHeight="1">
      <c r="A133" s="1" t="str">
        <f>[5]Sheet1!B134</f>
        <v xml:space="preserve">Skipper </v>
      </c>
      <c r="B133" s="1" t="str">
        <f>[5]Sheet1!C134</f>
        <v>UR 7</v>
      </c>
      <c r="C133" s="1">
        <f>[5]Sheet1!D134</f>
        <v>1</v>
      </c>
      <c r="D133" s="1">
        <f>[5]Sheet1!E134</f>
        <v>0</v>
      </c>
      <c r="E133" s="1">
        <f t="shared" si="2"/>
        <v>1</v>
      </c>
      <c r="F133" s="339">
        <f>[5]Sheet1!G134</f>
        <v>1300000</v>
      </c>
      <c r="G133" s="339">
        <f>[5]Sheet1!H134</f>
        <v>1300000</v>
      </c>
      <c r="H133" s="1">
        <f>[5]Sheet1!I134</f>
        <v>0</v>
      </c>
    </row>
    <row r="134" spans="1:8" ht="24.95" customHeight="1">
      <c r="A134" s="1" t="str">
        <f>[5]Sheet1!B135</f>
        <v>Tractor Operator</v>
      </c>
      <c r="B134" s="1" t="str">
        <f>[5]Sheet1!C135</f>
        <v>UR 7</v>
      </c>
      <c r="C134" s="1">
        <f>[5]Sheet1!D135</f>
        <v>10</v>
      </c>
      <c r="D134" s="1">
        <f>[5]Sheet1!E135</f>
        <v>4</v>
      </c>
      <c r="E134" s="1">
        <f t="shared" si="2"/>
        <v>6</v>
      </c>
      <c r="F134" s="339">
        <f>[5]Sheet1!G135</f>
        <v>1200000</v>
      </c>
      <c r="G134" s="339">
        <f>[5]Sheet1!H135</f>
        <v>1300000</v>
      </c>
      <c r="H134" s="1" t="str">
        <f>[5]Sheet1!I135</f>
        <v xml:space="preserve">changed salary scale and salary </v>
      </c>
    </row>
    <row r="135" spans="1:8" ht="24.95" customHeight="1">
      <c r="A135" s="1" t="str">
        <f>[5]Sheet1!B136</f>
        <v xml:space="preserve">Offfice attendant </v>
      </c>
      <c r="B135" s="1" t="str">
        <f>[5]Sheet1!C136</f>
        <v>UR 8</v>
      </c>
      <c r="C135" s="1">
        <f>[5]Sheet1!D136</f>
        <v>21</v>
      </c>
      <c r="D135" s="1">
        <f>[5]Sheet1!E136</f>
        <v>9</v>
      </c>
      <c r="E135" s="1">
        <f t="shared" si="2"/>
        <v>12</v>
      </c>
      <c r="F135" s="339">
        <f>[5]Sheet1!G136</f>
        <v>1200000</v>
      </c>
      <c r="G135" s="339">
        <f>[5]Sheet1!H136</f>
        <v>1200000</v>
      </c>
      <c r="H135" s="1">
        <f>[5]Sheet1!I136</f>
        <v>0</v>
      </c>
    </row>
    <row r="136" spans="1:8" ht="24.95" customHeight="1">
      <c r="A136" s="1" t="str">
        <f>[5]Sheet1!B137</f>
        <v xml:space="preserve">Nursery Attendant </v>
      </c>
      <c r="B136" s="1" t="str">
        <f>[5]Sheet1!C137</f>
        <v>UR 8</v>
      </c>
      <c r="C136" s="1">
        <f>[5]Sheet1!D137</f>
        <v>3</v>
      </c>
      <c r="D136" s="1">
        <f>[5]Sheet1!E137</f>
        <v>3</v>
      </c>
      <c r="E136" s="1">
        <f t="shared" si="2"/>
        <v>0</v>
      </c>
      <c r="F136" s="339">
        <f>[5]Sheet1!G137</f>
        <v>1200000</v>
      </c>
      <c r="G136" s="339">
        <f>[5]Sheet1!H137</f>
        <v>1200000</v>
      </c>
      <c r="H136" s="1">
        <f>[5]Sheet1!I137</f>
        <v>0</v>
      </c>
    </row>
    <row r="137" spans="1:8" ht="24.95" customHeight="1">
      <c r="A137" s="1" t="str">
        <f>[5]Sheet1!B138</f>
        <v>Security Guard</v>
      </c>
      <c r="B137" s="1" t="str">
        <f>[5]Sheet1!C138</f>
        <v>UR 8</v>
      </c>
      <c r="C137" s="1">
        <f>[5]Sheet1!D138</f>
        <v>50</v>
      </c>
      <c r="D137" s="1">
        <f>[5]Sheet1!E138</f>
        <v>25</v>
      </c>
      <c r="E137" s="1">
        <f t="shared" si="2"/>
        <v>25</v>
      </c>
      <c r="F137" s="339">
        <f>[5]Sheet1!G138</f>
        <v>1200000</v>
      </c>
      <c r="G137" s="339">
        <f>[5]Sheet1!H138</f>
        <v>1200000</v>
      </c>
      <c r="H137" s="1">
        <f>[5]Sheet1!I138</f>
        <v>0</v>
      </c>
    </row>
    <row r="138" spans="1:8" ht="24.95" customHeight="1">
      <c r="A138" s="1" t="str">
        <f>[5]Sheet1!B139</f>
        <v>Security/Forest Guard</v>
      </c>
      <c r="B138" s="1" t="str">
        <f>[5]Sheet1!C139</f>
        <v>UR 8</v>
      </c>
      <c r="C138" s="1">
        <f>[5]Sheet1!D139</f>
        <v>5</v>
      </c>
      <c r="D138" s="1">
        <f>[5]Sheet1!E139</f>
        <v>0</v>
      </c>
      <c r="E138" s="1">
        <f t="shared" si="2"/>
        <v>5</v>
      </c>
      <c r="F138" s="339">
        <f>[5]Sheet1!G139</f>
        <v>1200000</v>
      </c>
      <c r="G138" s="339">
        <f>[5]Sheet1!H139</f>
        <v>1200000</v>
      </c>
      <c r="H138" s="1">
        <f>[5]Sheet1!I139</f>
        <v>0</v>
      </c>
    </row>
    <row r="139" spans="1:8" ht="24.95" customHeight="1">
      <c r="A139" s="1">
        <f>[5]Sheet1!B140</f>
        <v>0</v>
      </c>
      <c r="B139" s="1">
        <f>[5]Sheet1!C140</f>
        <v>0</v>
      </c>
      <c r="C139">
        <v>1242</v>
      </c>
      <c r="E139" s="1"/>
      <c r="F139" s="339">
        <f>[5]Sheet1!G140</f>
        <v>0</v>
      </c>
      <c r="G139" s="339">
        <f>[5]Sheet1!H140</f>
        <v>0</v>
      </c>
      <c r="H139" s="1">
        <f>[5]Sheet1!I140</f>
        <v>0</v>
      </c>
    </row>
    <row r="140" spans="1:8">
      <c r="F140" s="1"/>
    </row>
    <row r="142" spans="1:8">
      <c r="E142">
        <f>(770-D139)</f>
        <v>770</v>
      </c>
      <c r="G142">
        <f>(C139-D139)</f>
        <v>1242</v>
      </c>
    </row>
  </sheetData>
  <autoFilter ref="A2:H2"/>
  <mergeCells count="1">
    <mergeCell ref="A1:G1"/>
  </mergeCells>
  <pageMargins left="0.28749999999999998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opLeftCell="A22" zoomScaleNormal="100" workbookViewId="0">
      <selection activeCell="F3" sqref="F3"/>
    </sheetView>
  </sheetViews>
  <sheetFormatPr defaultRowHeight="15"/>
  <cols>
    <col min="1" max="1" width="17.28515625" style="1" customWidth="1"/>
    <col min="2" max="2" width="24.140625" style="1" customWidth="1"/>
    <col min="3" max="3" width="23" style="1" customWidth="1"/>
    <col min="4" max="4" width="14" style="1" customWidth="1"/>
    <col min="5" max="5" width="17.85546875" style="1" customWidth="1"/>
    <col min="6" max="6" width="21.7109375" style="1" customWidth="1"/>
    <col min="7" max="7" width="21.7109375" customWidth="1"/>
    <col min="10" max="10" width="11.5703125" bestFit="1" customWidth="1"/>
  </cols>
  <sheetData>
    <row r="1" spans="1:10" ht="24.95" customHeight="1">
      <c r="A1" s="331" t="s">
        <v>1976</v>
      </c>
      <c r="B1" s="331"/>
      <c r="C1" s="331"/>
      <c r="G1" t="s">
        <v>1883</v>
      </c>
    </row>
    <row r="2" spans="1:10" ht="24.95" customHeight="1">
      <c r="A2" s="22"/>
      <c r="B2" s="22" t="s">
        <v>1830</v>
      </c>
      <c r="C2" s="23" t="s">
        <v>1829</v>
      </c>
      <c r="D2" s="23" t="s">
        <v>1815</v>
      </c>
      <c r="E2" s="23" t="s">
        <v>1</v>
      </c>
      <c r="F2" s="23" t="s">
        <v>1831</v>
      </c>
      <c r="G2" s="23" t="s">
        <v>1969</v>
      </c>
    </row>
    <row r="3" spans="1:10" ht="24.95" customHeight="1">
      <c r="A3" s="314" t="s">
        <v>1816</v>
      </c>
      <c r="B3" s="315">
        <v>101</v>
      </c>
      <c r="C3" s="314"/>
      <c r="D3" s="314">
        <v>101</v>
      </c>
      <c r="E3" s="314">
        <v>84</v>
      </c>
      <c r="F3" s="342">
        <v>84</v>
      </c>
      <c r="G3" s="1"/>
      <c r="H3" s="455"/>
      <c r="J3" s="340"/>
    </row>
    <row r="4" spans="1:10" ht="24.95" customHeight="1">
      <c r="A4" s="526" t="s">
        <v>261</v>
      </c>
      <c r="B4" s="529">
        <f>(D4+D5+D6)</f>
        <v>114</v>
      </c>
      <c r="C4" s="314" t="s">
        <v>1885</v>
      </c>
      <c r="D4" s="314">
        <v>45</v>
      </c>
      <c r="E4" s="314">
        <v>36</v>
      </c>
      <c r="F4" s="513">
        <f>(E4+E5+E6)</f>
        <v>78</v>
      </c>
      <c r="G4" s="1"/>
    </row>
    <row r="5" spans="1:10" ht="24.95" customHeight="1">
      <c r="A5" s="527"/>
      <c r="B5" s="530"/>
      <c r="C5" s="314" t="s">
        <v>627</v>
      </c>
      <c r="D5" s="314">
        <v>33</v>
      </c>
      <c r="E5" s="314">
        <v>13</v>
      </c>
      <c r="F5" s="514"/>
      <c r="G5" s="1"/>
      <c r="J5" s="341"/>
    </row>
    <row r="6" spans="1:10" ht="24.95" customHeight="1">
      <c r="A6" s="528"/>
      <c r="B6" s="531"/>
      <c r="C6" s="314" t="s">
        <v>1884</v>
      </c>
      <c r="D6" s="314">
        <v>36</v>
      </c>
      <c r="E6" s="314">
        <v>29</v>
      </c>
      <c r="F6" s="515"/>
      <c r="G6" s="1"/>
      <c r="J6" s="341"/>
    </row>
    <row r="7" spans="1:10" ht="24.95" customHeight="1">
      <c r="A7" s="532" t="s">
        <v>1817</v>
      </c>
      <c r="B7" s="522">
        <f>(D7+D8+D9)</f>
        <v>115</v>
      </c>
      <c r="C7" s="314" t="s">
        <v>1885</v>
      </c>
      <c r="D7" s="314">
        <v>44</v>
      </c>
      <c r="E7" s="314">
        <v>36</v>
      </c>
      <c r="F7" s="513">
        <f>(E7+E8+E9)</f>
        <v>81</v>
      </c>
      <c r="G7" s="1"/>
    </row>
    <row r="8" spans="1:10" ht="24.95" customHeight="1">
      <c r="A8" s="533"/>
      <c r="B8" s="523"/>
      <c r="C8" s="314" t="s">
        <v>627</v>
      </c>
      <c r="D8" s="314">
        <v>39</v>
      </c>
      <c r="E8" s="314">
        <v>20</v>
      </c>
      <c r="F8" s="514"/>
      <c r="G8" s="1"/>
    </row>
    <row r="9" spans="1:10" ht="24.95" customHeight="1">
      <c r="A9" s="534"/>
      <c r="B9" s="524"/>
      <c r="C9" s="314" t="s">
        <v>30</v>
      </c>
      <c r="D9" s="314">
        <v>32</v>
      </c>
      <c r="E9" s="314">
        <v>25</v>
      </c>
      <c r="F9" s="515"/>
      <c r="G9" s="1"/>
    </row>
    <row r="10" spans="1:10" ht="24.95" customHeight="1">
      <c r="A10" s="510" t="s">
        <v>612</v>
      </c>
      <c r="B10" s="522">
        <f>(D10+D11+D12)</f>
        <v>56</v>
      </c>
      <c r="C10" s="314" t="s">
        <v>1885</v>
      </c>
      <c r="D10" s="314">
        <v>21</v>
      </c>
      <c r="E10" s="314">
        <v>20</v>
      </c>
      <c r="F10" s="513">
        <f>(E10+E11+E12)</f>
        <v>40</v>
      </c>
      <c r="G10" s="1"/>
    </row>
    <row r="11" spans="1:10" ht="24.95" customHeight="1">
      <c r="A11" s="511"/>
      <c r="B11" s="523"/>
      <c r="C11" s="314" t="s">
        <v>627</v>
      </c>
      <c r="D11" s="314">
        <v>16</v>
      </c>
      <c r="E11" s="314">
        <v>4</v>
      </c>
      <c r="F11" s="514"/>
      <c r="G11" s="1"/>
    </row>
    <row r="12" spans="1:10" ht="24.95" customHeight="1">
      <c r="A12" s="511"/>
      <c r="B12" s="523"/>
      <c r="C12" s="314" t="s">
        <v>30</v>
      </c>
      <c r="D12" s="314">
        <v>19</v>
      </c>
      <c r="E12" s="314">
        <v>16</v>
      </c>
      <c r="F12" s="515"/>
      <c r="G12" s="1"/>
    </row>
    <row r="13" spans="1:10" ht="24.95" customHeight="1">
      <c r="A13" s="525" t="s">
        <v>1818</v>
      </c>
      <c r="B13" s="522">
        <f>(D13+D14+D15)</f>
        <v>89</v>
      </c>
      <c r="C13" s="314" t="s">
        <v>1885</v>
      </c>
      <c r="D13" s="314">
        <v>34</v>
      </c>
      <c r="E13" s="314">
        <v>19</v>
      </c>
      <c r="F13" s="513">
        <f>(E13+E14+E15)</f>
        <v>53</v>
      </c>
      <c r="G13" s="1"/>
    </row>
    <row r="14" spans="1:10" ht="24.95" customHeight="1">
      <c r="A14" s="525"/>
      <c r="B14" s="523"/>
      <c r="C14" s="314" t="s">
        <v>627</v>
      </c>
      <c r="D14" s="314">
        <v>25</v>
      </c>
      <c r="E14" s="314">
        <v>14</v>
      </c>
      <c r="F14" s="514"/>
      <c r="G14" s="1"/>
    </row>
    <row r="15" spans="1:10" ht="24.95" customHeight="1">
      <c r="A15" s="525"/>
      <c r="B15" s="524"/>
      <c r="C15" s="314" t="s">
        <v>30</v>
      </c>
      <c r="D15" s="314">
        <v>30</v>
      </c>
      <c r="E15" s="1">
        <v>20</v>
      </c>
      <c r="F15" s="515"/>
      <c r="G15" s="1"/>
    </row>
    <row r="16" spans="1:10" ht="24.95" customHeight="1">
      <c r="A16" s="510" t="s">
        <v>1819</v>
      </c>
      <c r="B16" s="522">
        <f>(D16+D17+D18)</f>
        <v>98</v>
      </c>
      <c r="C16" s="314" t="s">
        <v>1885</v>
      </c>
      <c r="D16" s="314">
        <v>31</v>
      </c>
      <c r="E16" s="1">
        <v>20</v>
      </c>
      <c r="F16" s="513">
        <f>(E16+E17+E18)</f>
        <v>53</v>
      </c>
      <c r="G16" s="1"/>
    </row>
    <row r="17" spans="1:9" ht="24.95" customHeight="1">
      <c r="A17" s="511"/>
      <c r="B17" s="523"/>
      <c r="C17" s="314" t="s">
        <v>627</v>
      </c>
      <c r="D17" s="314">
        <v>29</v>
      </c>
      <c r="E17" s="314">
        <v>10</v>
      </c>
      <c r="F17" s="514"/>
      <c r="G17" s="1"/>
    </row>
    <row r="18" spans="1:9" ht="24.95" customHeight="1">
      <c r="A18" s="512"/>
      <c r="B18" s="524"/>
      <c r="C18" s="314" t="s">
        <v>30</v>
      </c>
      <c r="D18" s="314">
        <v>38</v>
      </c>
      <c r="E18" s="314">
        <v>23</v>
      </c>
      <c r="F18" s="515"/>
      <c r="G18" s="1"/>
    </row>
    <row r="19" spans="1:9" ht="24.95" customHeight="1">
      <c r="A19" s="510" t="s">
        <v>1820</v>
      </c>
      <c r="B19" s="522">
        <f>(D21+D20+D19)</f>
        <v>135</v>
      </c>
      <c r="C19" s="314" t="s">
        <v>1885</v>
      </c>
      <c r="D19" s="314">
        <v>51</v>
      </c>
      <c r="E19" s="314">
        <v>29</v>
      </c>
      <c r="F19" s="513">
        <f>(E19+E20+E21)</f>
        <v>58</v>
      </c>
      <c r="G19" s="1"/>
      <c r="I19" s="314"/>
    </row>
    <row r="20" spans="1:9" ht="24.95" customHeight="1">
      <c r="A20" s="511"/>
      <c r="B20" s="523"/>
      <c r="C20" s="314" t="s">
        <v>627</v>
      </c>
      <c r="D20" s="314">
        <v>47</v>
      </c>
      <c r="E20" s="314">
        <v>10</v>
      </c>
      <c r="F20" s="514"/>
      <c r="G20" s="1"/>
      <c r="I20" s="314"/>
    </row>
    <row r="21" spans="1:9" ht="24.95" customHeight="1">
      <c r="A21" s="512"/>
      <c r="B21" s="524"/>
      <c r="C21" s="314" t="s">
        <v>30</v>
      </c>
      <c r="D21" s="314">
        <v>37</v>
      </c>
      <c r="E21" s="314">
        <v>19</v>
      </c>
      <c r="F21" s="515"/>
      <c r="G21" s="1"/>
      <c r="I21" s="314"/>
    </row>
    <row r="22" spans="1:9" ht="24.95" customHeight="1">
      <c r="A22" s="519" t="s">
        <v>1821</v>
      </c>
      <c r="B22" s="522">
        <f>(D22+D23+D24)</f>
        <v>96</v>
      </c>
      <c r="C22" s="314" t="s">
        <v>1885</v>
      </c>
      <c r="D22" s="314">
        <v>38</v>
      </c>
      <c r="E22" s="314">
        <v>19</v>
      </c>
      <c r="F22" s="513">
        <f>(E23+E24+E22)</f>
        <v>53</v>
      </c>
      <c r="G22" s="1"/>
    </row>
    <row r="23" spans="1:9" ht="24.95" customHeight="1">
      <c r="A23" s="520"/>
      <c r="B23" s="523"/>
      <c r="C23" s="314" t="s">
        <v>627</v>
      </c>
      <c r="D23" s="314">
        <v>25</v>
      </c>
      <c r="E23" s="314">
        <v>13</v>
      </c>
      <c r="F23" s="514"/>
      <c r="G23" s="1"/>
    </row>
    <row r="24" spans="1:9" ht="24.95" customHeight="1">
      <c r="A24" s="521"/>
      <c r="B24" s="524"/>
      <c r="C24" s="314" t="s">
        <v>30</v>
      </c>
      <c r="D24" s="314">
        <v>33</v>
      </c>
      <c r="E24" s="314">
        <v>21</v>
      </c>
      <c r="F24" s="515"/>
      <c r="G24" s="1"/>
    </row>
    <row r="25" spans="1:9" ht="24.95" customHeight="1">
      <c r="A25" s="510" t="s">
        <v>1168</v>
      </c>
      <c r="B25" s="522">
        <f>(D25+D26+D27)</f>
        <v>43</v>
      </c>
      <c r="C25" s="314" t="s">
        <v>1885</v>
      </c>
      <c r="D25" s="314">
        <v>14</v>
      </c>
      <c r="E25" s="314">
        <v>6</v>
      </c>
      <c r="F25" s="513">
        <f>(E27+E26+E25)</f>
        <v>27</v>
      </c>
      <c r="G25" s="1"/>
    </row>
    <row r="26" spans="1:9" ht="24.95" customHeight="1">
      <c r="A26" s="511"/>
      <c r="B26" s="523"/>
      <c r="C26" s="314" t="s">
        <v>627</v>
      </c>
      <c r="D26" s="314">
        <v>11</v>
      </c>
      <c r="E26" s="314">
        <v>7</v>
      </c>
      <c r="F26" s="514"/>
      <c r="G26" s="1"/>
    </row>
    <row r="27" spans="1:9" ht="24.95" customHeight="1">
      <c r="A27" s="512"/>
      <c r="B27" s="524"/>
      <c r="C27" s="314" t="s">
        <v>30</v>
      </c>
      <c r="D27" s="314">
        <v>18</v>
      </c>
      <c r="E27" s="314">
        <v>14</v>
      </c>
      <c r="F27" s="515"/>
      <c r="G27" s="1"/>
    </row>
    <row r="28" spans="1:9" ht="24.95" customHeight="1">
      <c r="A28" s="510" t="s">
        <v>1822</v>
      </c>
      <c r="B28" s="522">
        <v>48</v>
      </c>
      <c r="C28" s="314" t="s">
        <v>1885</v>
      </c>
      <c r="D28" s="314">
        <v>17</v>
      </c>
      <c r="E28" s="314">
        <v>8</v>
      </c>
      <c r="F28" s="513">
        <f t="shared" ref="F28" si="0">(E30+E29+E28)</f>
        <v>28</v>
      </c>
      <c r="G28" s="1"/>
    </row>
    <row r="29" spans="1:9" ht="24.95" customHeight="1">
      <c r="A29" s="511"/>
      <c r="B29" s="523"/>
      <c r="C29" s="314" t="s">
        <v>627</v>
      </c>
      <c r="D29" s="314">
        <v>15</v>
      </c>
      <c r="E29" s="314">
        <v>7</v>
      </c>
      <c r="F29" s="514"/>
      <c r="G29" s="1"/>
    </row>
    <row r="30" spans="1:9" ht="24.95" customHeight="1">
      <c r="A30" s="512"/>
      <c r="B30" s="524"/>
      <c r="C30" s="314" t="s">
        <v>30</v>
      </c>
      <c r="D30" s="314">
        <v>18</v>
      </c>
      <c r="E30" s="314">
        <v>13</v>
      </c>
      <c r="F30" s="515"/>
      <c r="G30" s="1"/>
    </row>
    <row r="31" spans="1:9" ht="24.95" customHeight="1">
      <c r="A31" s="510" t="s">
        <v>1823</v>
      </c>
      <c r="B31" s="522">
        <v>72</v>
      </c>
      <c r="C31" s="314" t="s">
        <v>1885</v>
      </c>
      <c r="D31" s="314">
        <v>26</v>
      </c>
      <c r="E31" s="314">
        <v>7</v>
      </c>
      <c r="F31" s="513">
        <f t="shared" ref="F31" si="1">(E33+E32+E31)</f>
        <v>32</v>
      </c>
      <c r="G31" s="1"/>
    </row>
    <row r="32" spans="1:9" ht="24.95" customHeight="1">
      <c r="A32" s="511"/>
      <c r="B32" s="523"/>
      <c r="C32" s="314" t="s">
        <v>627</v>
      </c>
      <c r="D32" s="314">
        <v>18</v>
      </c>
      <c r="E32" s="314">
        <v>10</v>
      </c>
      <c r="F32" s="514"/>
      <c r="G32" s="1"/>
    </row>
    <row r="33" spans="1:7" ht="24.95" customHeight="1">
      <c r="A33" s="512"/>
      <c r="B33" s="524"/>
      <c r="C33" s="314" t="s">
        <v>30</v>
      </c>
      <c r="D33" s="314">
        <v>27</v>
      </c>
      <c r="E33" s="314">
        <v>15</v>
      </c>
      <c r="F33" s="515"/>
      <c r="G33" s="1"/>
    </row>
    <row r="34" spans="1:7" ht="24.95" customHeight="1">
      <c r="A34" s="510" t="s">
        <v>1886</v>
      </c>
      <c r="B34" s="522">
        <v>45</v>
      </c>
      <c r="C34" s="314" t="s">
        <v>1885</v>
      </c>
      <c r="D34" s="314">
        <v>16</v>
      </c>
      <c r="E34" s="314">
        <v>8</v>
      </c>
      <c r="F34" s="513">
        <f t="shared" ref="F34" si="2">(E36+E35+E34)</f>
        <v>29</v>
      </c>
      <c r="G34" s="1"/>
    </row>
    <row r="35" spans="1:7" ht="24.95" customHeight="1">
      <c r="A35" s="511"/>
      <c r="B35" s="523"/>
      <c r="C35" s="314" t="s">
        <v>627</v>
      </c>
      <c r="D35" s="314">
        <v>11</v>
      </c>
      <c r="E35" s="314">
        <v>6</v>
      </c>
      <c r="F35" s="514"/>
      <c r="G35" s="1"/>
    </row>
    <row r="36" spans="1:7" ht="24.95" customHeight="1">
      <c r="A36" s="512"/>
      <c r="B36" s="524"/>
      <c r="C36" s="314" t="s">
        <v>30</v>
      </c>
      <c r="D36" s="314">
        <v>18</v>
      </c>
      <c r="E36" s="314">
        <v>15</v>
      </c>
      <c r="F36" s="515"/>
      <c r="G36" s="1"/>
    </row>
    <row r="37" spans="1:7" ht="24.95" customHeight="1">
      <c r="A37" s="510" t="s">
        <v>1824</v>
      </c>
      <c r="B37" s="516">
        <f>(D39+D38+D37)</f>
        <v>50</v>
      </c>
      <c r="C37" s="314" t="s">
        <v>1885</v>
      </c>
      <c r="D37" s="314">
        <v>18</v>
      </c>
      <c r="E37" s="314">
        <v>9</v>
      </c>
      <c r="F37" s="513">
        <f t="shared" ref="F37" si="3">(E39+E38+E37)</f>
        <v>33</v>
      </c>
      <c r="G37" s="1"/>
    </row>
    <row r="38" spans="1:7" ht="24.95" customHeight="1">
      <c r="A38" s="511"/>
      <c r="B38" s="517"/>
      <c r="C38" s="314" t="s">
        <v>627</v>
      </c>
      <c r="D38" s="1">
        <v>14</v>
      </c>
      <c r="E38" s="1">
        <v>10</v>
      </c>
      <c r="F38" s="514"/>
      <c r="G38" s="1"/>
    </row>
    <row r="39" spans="1:7" ht="24.95" customHeight="1">
      <c r="A39" s="512"/>
      <c r="B39" s="518"/>
      <c r="C39" s="314" t="s">
        <v>30</v>
      </c>
      <c r="D39" s="1">
        <v>18</v>
      </c>
      <c r="E39" s="1">
        <v>14</v>
      </c>
      <c r="F39" s="515"/>
      <c r="G39" s="1"/>
    </row>
    <row r="40" spans="1:7" ht="24.95" customHeight="1">
      <c r="A40" s="510" t="s">
        <v>1828</v>
      </c>
      <c r="B40" s="516">
        <v>44</v>
      </c>
      <c r="C40" s="314" t="s">
        <v>1885</v>
      </c>
      <c r="D40" s="1">
        <v>13</v>
      </c>
      <c r="E40" s="1">
        <v>7</v>
      </c>
      <c r="F40" s="513">
        <f t="shared" ref="F40" si="4">(E42+E41+E40)</f>
        <v>29</v>
      </c>
      <c r="G40" s="1"/>
    </row>
    <row r="41" spans="1:7" ht="24.95" customHeight="1">
      <c r="A41" s="511"/>
      <c r="B41" s="517"/>
      <c r="C41" s="314" t="s">
        <v>627</v>
      </c>
      <c r="D41" s="1">
        <v>14</v>
      </c>
      <c r="E41" s="1">
        <v>10</v>
      </c>
      <c r="F41" s="514"/>
      <c r="G41" s="1"/>
    </row>
    <row r="42" spans="1:7" ht="24.95" customHeight="1">
      <c r="A42" s="512"/>
      <c r="B42" s="518"/>
      <c r="C42" s="314" t="s">
        <v>30</v>
      </c>
      <c r="D42" s="1">
        <v>17</v>
      </c>
      <c r="E42" s="1">
        <v>12</v>
      </c>
      <c r="F42" s="515"/>
      <c r="G42" s="1"/>
    </row>
    <row r="43" spans="1:7" ht="24.95" customHeight="1">
      <c r="A43" s="510" t="s">
        <v>1825</v>
      </c>
      <c r="B43" s="516">
        <v>40</v>
      </c>
      <c r="C43" s="314" t="s">
        <v>1885</v>
      </c>
      <c r="D43" s="1">
        <v>14</v>
      </c>
      <c r="E43" s="1">
        <v>6</v>
      </c>
      <c r="F43" s="513">
        <f t="shared" ref="F43" si="5">(E45+E44+E43)</f>
        <v>30</v>
      </c>
      <c r="G43" s="1"/>
    </row>
    <row r="44" spans="1:7" ht="24.95" customHeight="1">
      <c r="A44" s="511"/>
      <c r="B44" s="517"/>
      <c r="C44" s="314" t="s">
        <v>627</v>
      </c>
      <c r="D44" s="1">
        <v>9</v>
      </c>
      <c r="E44" s="1">
        <v>6</v>
      </c>
      <c r="F44" s="514"/>
      <c r="G44" s="1"/>
    </row>
    <row r="45" spans="1:7" ht="24.95" customHeight="1">
      <c r="A45" s="512"/>
      <c r="B45" s="518"/>
      <c r="C45" s="314" t="s">
        <v>30</v>
      </c>
      <c r="D45" s="1">
        <v>17</v>
      </c>
      <c r="E45" s="1">
        <v>18</v>
      </c>
      <c r="F45" s="515"/>
      <c r="G45" s="1"/>
    </row>
    <row r="46" spans="1:7" ht="24.95" customHeight="1">
      <c r="A46" s="519" t="s">
        <v>1826</v>
      </c>
      <c r="B46" s="516">
        <v>49</v>
      </c>
      <c r="C46" s="314" t="s">
        <v>1885</v>
      </c>
      <c r="D46" s="1">
        <v>17</v>
      </c>
      <c r="E46" s="1">
        <v>11</v>
      </c>
      <c r="F46" s="513">
        <f t="shared" ref="F46" si="6">(E48+E47+E46)</f>
        <v>33</v>
      </c>
      <c r="G46" s="1"/>
    </row>
    <row r="47" spans="1:7" ht="24.95" customHeight="1">
      <c r="A47" s="520"/>
      <c r="B47" s="517"/>
      <c r="C47" s="314" t="s">
        <v>627</v>
      </c>
      <c r="D47" s="1">
        <v>13</v>
      </c>
      <c r="E47" s="1">
        <v>9</v>
      </c>
      <c r="F47" s="514"/>
      <c r="G47" s="1"/>
    </row>
    <row r="48" spans="1:7" ht="24.95" customHeight="1">
      <c r="A48" s="521"/>
      <c r="B48" s="518"/>
      <c r="C48" s="314" t="s">
        <v>30</v>
      </c>
      <c r="D48" s="1">
        <v>17</v>
      </c>
      <c r="E48" s="1">
        <v>13</v>
      </c>
      <c r="F48" s="515"/>
      <c r="G48" s="1"/>
    </row>
    <row r="49" spans="1:7" ht="24.95" customHeight="1">
      <c r="A49" s="510" t="s">
        <v>1827</v>
      </c>
      <c r="B49" s="516">
        <v>47</v>
      </c>
      <c r="C49" s="314" t="s">
        <v>1885</v>
      </c>
      <c r="D49" s="1">
        <v>15</v>
      </c>
      <c r="E49" s="1">
        <v>10</v>
      </c>
      <c r="F49" s="513">
        <f>(E49+E50+E51)</f>
        <v>32</v>
      </c>
      <c r="G49" s="1"/>
    </row>
    <row r="50" spans="1:7" ht="24.95" customHeight="1">
      <c r="A50" s="511"/>
      <c r="B50" s="517"/>
      <c r="C50" s="314" t="s">
        <v>627</v>
      </c>
      <c r="D50" s="1">
        <v>15</v>
      </c>
      <c r="E50" s="1">
        <v>7</v>
      </c>
      <c r="F50" s="514"/>
      <c r="G50" s="1"/>
    </row>
    <row r="51" spans="1:7" ht="24.95" customHeight="1">
      <c r="A51" s="512"/>
      <c r="B51" s="518"/>
      <c r="C51" s="314" t="s">
        <v>30</v>
      </c>
      <c r="D51" s="1">
        <v>17</v>
      </c>
      <c r="E51" s="1">
        <v>15</v>
      </c>
      <c r="F51" s="515"/>
      <c r="G51" s="1"/>
    </row>
    <row r="52" spans="1:7" ht="24.95" customHeight="1">
      <c r="A52" s="317" t="s">
        <v>1832</v>
      </c>
      <c r="B52" s="318">
        <f>SUM(B3:B51)</f>
        <v>1242</v>
      </c>
      <c r="C52" s="317"/>
      <c r="D52" s="317"/>
      <c r="E52" s="317">
        <f>SUM(E3:E51)</f>
        <v>773</v>
      </c>
      <c r="F52" s="343">
        <f>SUM(F3:F51)</f>
        <v>773</v>
      </c>
      <c r="G52" s="1"/>
    </row>
    <row r="53" spans="1:7" ht="24.95" customHeight="1">
      <c r="C53" s="1">
        <f>E349</f>
        <v>0</v>
      </c>
    </row>
    <row r="57" spans="1:7" ht="39.950000000000003" customHeight="1"/>
  </sheetData>
  <mergeCells count="48">
    <mergeCell ref="A13:A15"/>
    <mergeCell ref="B13:B15"/>
    <mergeCell ref="A16:A18"/>
    <mergeCell ref="B16:B18"/>
    <mergeCell ref="A4:A6"/>
    <mergeCell ref="B4:B6"/>
    <mergeCell ref="B7:B9"/>
    <mergeCell ref="A7:A9"/>
    <mergeCell ref="A10:A12"/>
    <mergeCell ref="B10:B12"/>
    <mergeCell ref="F4:F6"/>
    <mergeCell ref="F7:F9"/>
    <mergeCell ref="F10:F12"/>
    <mergeCell ref="F13:F15"/>
    <mergeCell ref="F16:F18"/>
    <mergeCell ref="A25:A27"/>
    <mergeCell ref="B25:B27"/>
    <mergeCell ref="F25:F27"/>
    <mergeCell ref="A28:A30"/>
    <mergeCell ref="B28:B30"/>
    <mergeCell ref="A22:A24"/>
    <mergeCell ref="B22:B24"/>
    <mergeCell ref="F22:F24"/>
    <mergeCell ref="A19:A21"/>
    <mergeCell ref="B19:B21"/>
    <mergeCell ref="F19:F21"/>
    <mergeCell ref="A31:A33"/>
    <mergeCell ref="B31:B33"/>
    <mergeCell ref="F31:F33"/>
    <mergeCell ref="F28:F30"/>
    <mergeCell ref="A34:A36"/>
    <mergeCell ref="B34:B36"/>
    <mergeCell ref="F34:F36"/>
    <mergeCell ref="A37:A39"/>
    <mergeCell ref="B37:B39"/>
    <mergeCell ref="F37:F39"/>
    <mergeCell ref="A40:A42"/>
    <mergeCell ref="B40:B42"/>
    <mergeCell ref="F40:F42"/>
    <mergeCell ref="A49:A51"/>
    <mergeCell ref="F49:F51"/>
    <mergeCell ref="B49:B51"/>
    <mergeCell ref="A43:A45"/>
    <mergeCell ref="B43:B45"/>
    <mergeCell ref="F43:F45"/>
    <mergeCell ref="A46:A48"/>
    <mergeCell ref="B46:B48"/>
    <mergeCell ref="F46:F48"/>
  </mergeCells>
  <pageMargins left="0.7" right="0.7" top="0.75" bottom="0.75" header="0.3" footer="0.3"/>
  <pageSetup scale="7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"/>
  <sheetViews>
    <sheetView workbookViewId="0">
      <selection activeCell="D217" sqref="D217"/>
    </sheetView>
  </sheetViews>
  <sheetFormatPr defaultRowHeight="15"/>
  <cols>
    <col min="1" max="1" width="42.42578125" customWidth="1"/>
    <col min="2" max="2" width="31.140625" customWidth="1"/>
    <col min="3" max="3" width="23.7109375" customWidth="1"/>
    <col min="4" max="4" width="25.28515625" customWidth="1"/>
    <col min="5" max="5" width="23.140625" customWidth="1"/>
    <col min="6" max="6" width="21.28515625" customWidth="1"/>
    <col min="7" max="7" width="20.85546875" customWidth="1"/>
    <col min="8" max="8" width="19.140625" customWidth="1"/>
    <col min="9" max="9" width="18.28515625" customWidth="1"/>
    <col min="10" max="10" width="14" customWidth="1"/>
    <col min="11" max="11" width="18.85546875" customWidth="1"/>
  </cols>
  <sheetData>
    <row r="1" spans="1:11" ht="17.25">
      <c r="C1" s="535" t="s">
        <v>1877</v>
      </c>
      <c r="D1" s="535"/>
      <c r="E1" s="535"/>
      <c r="F1" s="535"/>
      <c r="G1" s="535"/>
      <c r="H1" s="535"/>
    </row>
    <row r="2" spans="1:11" ht="27" customHeight="1">
      <c r="A2" s="536" t="s">
        <v>1900</v>
      </c>
      <c r="B2" s="536"/>
      <c r="C2" s="536"/>
      <c r="D2" s="536"/>
      <c r="E2" s="536"/>
      <c r="F2" s="536"/>
      <c r="G2" s="536"/>
      <c r="H2" s="1"/>
      <c r="I2" s="1"/>
      <c r="J2" s="1"/>
      <c r="K2" s="1"/>
    </row>
    <row r="3" spans="1:11" ht="63" customHeight="1">
      <c r="A3" s="345" t="s">
        <v>1901</v>
      </c>
      <c r="B3" s="345" t="s">
        <v>2</v>
      </c>
      <c r="C3" s="345" t="s">
        <v>1902</v>
      </c>
      <c r="D3" s="346" t="s">
        <v>1903</v>
      </c>
      <c r="E3" s="346" t="s">
        <v>1904</v>
      </c>
      <c r="F3" s="345" t="s">
        <v>1905</v>
      </c>
      <c r="G3" s="345" t="s">
        <v>1906</v>
      </c>
      <c r="H3" s="1"/>
      <c r="I3" s="1"/>
      <c r="J3" s="1"/>
      <c r="K3" s="1"/>
    </row>
    <row r="4" spans="1:11" ht="30" customHeight="1">
      <c r="A4" s="347" t="s">
        <v>1907</v>
      </c>
      <c r="B4" s="348"/>
      <c r="C4" s="347"/>
      <c r="D4" s="347"/>
      <c r="E4" s="347"/>
      <c r="F4" s="347"/>
      <c r="G4" s="349"/>
      <c r="H4" s="1"/>
      <c r="I4" s="1"/>
      <c r="J4" s="1"/>
      <c r="K4" s="1"/>
    </row>
    <row r="5" spans="1:11" ht="30" customHeight="1">
      <c r="A5" s="350" t="s">
        <v>1908</v>
      </c>
      <c r="B5" s="345"/>
      <c r="C5" s="351"/>
      <c r="D5" s="352"/>
      <c r="E5" s="352"/>
      <c r="F5" s="353"/>
      <c r="G5" s="354"/>
      <c r="H5" s="335"/>
      <c r="I5" s="335"/>
      <c r="J5" s="335"/>
      <c r="K5" s="1"/>
    </row>
    <row r="6" spans="1:11" ht="30" customHeight="1">
      <c r="A6" s="355" t="s">
        <v>258</v>
      </c>
      <c r="B6" s="356" t="s">
        <v>109</v>
      </c>
      <c r="C6" s="351">
        <v>1</v>
      </c>
      <c r="D6" s="352"/>
      <c r="E6" s="352">
        <f t="shared" ref="E6:E8" si="0">C6</f>
        <v>1</v>
      </c>
      <c r="F6" s="357">
        <v>10600000</v>
      </c>
      <c r="G6" s="354">
        <f t="shared" ref="G6:G13" si="1">(F6*12)</f>
        <v>127200000</v>
      </c>
      <c r="H6" s="1"/>
      <c r="I6" s="1"/>
      <c r="J6" s="1"/>
      <c r="K6" s="1"/>
    </row>
    <row r="7" spans="1:11" ht="30" customHeight="1">
      <c r="A7" s="355" t="s">
        <v>262</v>
      </c>
      <c r="B7" s="356" t="s">
        <v>59</v>
      </c>
      <c r="C7" s="351">
        <v>3</v>
      </c>
      <c r="D7" s="352"/>
      <c r="E7" s="352">
        <f t="shared" si="0"/>
        <v>3</v>
      </c>
      <c r="F7" s="357">
        <v>8500000</v>
      </c>
      <c r="G7" s="354">
        <f t="shared" si="1"/>
        <v>102000000</v>
      </c>
      <c r="H7" s="1"/>
      <c r="I7" s="1"/>
      <c r="J7" s="1"/>
      <c r="K7" s="1"/>
    </row>
    <row r="8" spans="1:11" ht="30" customHeight="1">
      <c r="A8" s="358" t="s">
        <v>263</v>
      </c>
      <c r="B8" s="359" t="s">
        <v>129</v>
      </c>
      <c r="C8" s="360">
        <v>4</v>
      </c>
      <c r="D8" s="352"/>
      <c r="E8" s="352">
        <f t="shared" si="0"/>
        <v>4</v>
      </c>
      <c r="F8" s="361">
        <v>7500000</v>
      </c>
      <c r="G8" s="354">
        <f t="shared" si="1"/>
        <v>90000000</v>
      </c>
      <c r="H8" s="1"/>
      <c r="I8" s="1"/>
      <c r="J8" s="1"/>
      <c r="K8" s="1"/>
    </row>
    <row r="9" spans="1:11" ht="22.5" customHeight="1">
      <c r="A9" s="439" t="s">
        <v>268</v>
      </c>
      <c r="B9" s="440" t="s">
        <v>123</v>
      </c>
      <c r="C9" s="441">
        <v>6</v>
      </c>
      <c r="D9" s="441">
        <v>1</v>
      </c>
      <c r="E9" s="441">
        <v>5</v>
      </c>
      <c r="F9" s="442">
        <v>6000000</v>
      </c>
      <c r="G9" s="443">
        <f t="shared" si="1"/>
        <v>72000000</v>
      </c>
      <c r="H9" s="1"/>
      <c r="I9" s="1"/>
      <c r="J9" s="1"/>
      <c r="K9" s="1"/>
    </row>
    <row r="10" spans="1:11" ht="36.75" customHeight="1">
      <c r="A10" s="358" t="s">
        <v>277</v>
      </c>
      <c r="B10" s="356" t="s">
        <v>166</v>
      </c>
      <c r="C10" s="351">
        <v>1</v>
      </c>
      <c r="D10" s="352"/>
      <c r="E10" s="352">
        <f t="shared" ref="E10:E12" si="2">C10</f>
        <v>1</v>
      </c>
      <c r="F10" s="357">
        <v>5600000</v>
      </c>
      <c r="G10" s="354">
        <f t="shared" si="1"/>
        <v>67200000</v>
      </c>
      <c r="H10" s="1"/>
      <c r="I10" s="1"/>
      <c r="J10" s="1"/>
      <c r="K10" s="1"/>
    </row>
    <row r="11" spans="1:11" ht="30" customHeight="1">
      <c r="A11" s="355" t="s">
        <v>278</v>
      </c>
      <c r="B11" s="356" t="s">
        <v>279</v>
      </c>
      <c r="C11" s="351">
        <v>3</v>
      </c>
      <c r="D11" s="352"/>
      <c r="E11" s="352">
        <f t="shared" si="2"/>
        <v>3</v>
      </c>
      <c r="F11" s="357">
        <v>3600000</v>
      </c>
      <c r="G11" s="354">
        <f t="shared" si="1"/>
        <v>43200000</v>
      </c>
      <c r="H11" s="1"/>
      <c r="I11" s="1"/>
      <c r="J11" s="1"/>
      <c r="K11" s="1"/>
    </row>
    <row r="12" spans="1:11" ht="30" customHeight="1">
      <c r="A12" s="355" t="s">
        <v>286</v>
      </c>
      <c r="B12" s="356" t="s">
        <v>287</v>
      </c>
      <c r="C12" s="351">
        <v>3</v>
      </c>
      <c r="D12" s="352"/>
      <c r="E12" s="352">
        <f t="shared" si="2"/>
        <v>3</v>
      </c>
      <c r="F12" s="357">
        <v>2600000</v>
      </c>
      <c r="G12" s="354">
        <f t="shared" si="1"/>
        <v>31200000</v>
      </c>
      <c r="H12" s="1"/>
      <c r="I12" s="1"/>
      <c r="J12" s="1"/>
      <c r="K12" s="1"/>
    </row>
    <row r="13" spans="1:11" ht="30" customHeight="1">
      <c r="A13" s="362" t="s">
        <v>1942</v>
      </c>
      <c r="B13" s="363"/>
      <c r="C13" s="352">
        <v>0</v>
      </c>
      <c r="D13" s="352"/>
      <c r="E13" s="352">
        <v>1</v>
      </c>
      <c r="F13" s="364">
        <v>4500000</v>
      </c>
      <c r="G13" s="354">
        <f t="shared" si="1"/>
        <v>54000000</v>
      </c>
      <c r="H13" s="1"/>
      <c r="I13" s="1"/>
      <c r="J13" s="1"/>
      <c r="K13" s="1"/>
    </row>
    <row r="14" spans="1:11" ht="30" customHeight="1">
      <c r="A14" s="345" t="s">
        <v>1909</v>
      </c>
      <c r="B14" s="356"/>
      <c r="C14" s="365">
        <f t="shared" ref="C14" si="3">SUM(C6:C12)</f>
        <v>21</v>
      </c>
      <c r="D14" s="366"/>
      <c r="E14" s="366">
        <f>SUM(E6:E13)</f>
        <v>21</v>
      </c>
      <c r="F14" s="367"/>
      <c r="G14" s="354"/>
      <c r="H14" s="1"/>
      <c r="I14" s="1"/>
      <c r="J14" s="1"/>
      <c r="K14" s="1"/>
    </row>
    <row r="15" spans="1:11" ht="30" customHeight="1">
      <c r="A15" s="368"/>
      <c r="B15" s="369"/>
      <c r="C15" s="370"/>
      <c r="D15" s="370"/>
      <c r="E15" s="370"/>
      <c r="F15" s="371"/>
      <c r="G15" s="372"/>
      <c r="H15" s="1"/>
      <c r="I15" s="1"/>
      <c r="J15" s="1"/>
      <c r="K15" s="1"/>
    </row>
    <row r="16" spans="1:11" ht="20.25" customHeight="1">
      <c r="A16" s="350" t="s">
        <v>1910</v>
      </c>
      <c r="B16" s="350"/>
      <c r="C16" s="351"/>
      <c r="D16" s="352"/>
      <c r="E16" s="352"/>
      <c r="F16" s="373"/>
      <c r="G16" s="354"/>
      <c r="H16" s="1"/>
      <c r="I16" s="1"/>
      <c r="J16" s="1"/>
      <c r="K16" s="1"/>
    </row>
    <row r="17" spans="1:11" ht="39" customHeight="1">
      <c r="A17" s="355" t="s">
        <v>288</v>
      </c>
      <c r="B17" s="356" t="s">
        <v>109</v>
      </c>
      <c r="C17" s="351">
        <v>1</v>
      </c>
      <c r="D17" s="352"/>
      <c r="E17" s="352">
        <f t="shared" ref="E17:E26" si="4">C17</f>
        <v>1</v>
      </c>
      <c r="F17" s="357">
        <v>10600000</v>
      </c>
      <c r="G17" s="354">
        <f t="shared" ref="G17:G48" si="5">(F17*12)</f>
        <v>127200000</v>
      </c>
      <c r="H17" s="1"/>
      <c r="I17" s="1"/>
      <c r="J17" s="1"/>
      <c r="K17" s="1"/>
    </row>
    <row r="18" spans="1:11" ht="30" customHeight="1">
      <c r="A18" s="358" t="s">
        <v>291</v>
      </c>
      <c r="B18" s="359" t="s">
        <v>59</v>
      </c>
      <c r="C18" s="360">
        <v>2</v>
      </c>
      <c r="D18" s="352"/>
      <c r="E18" s="352">
        <f t="shared" si="4"/>
        <v>2</v>
      </c>
      <c r="F18" s="361">
        <v>8500000</v>
      </c>
      <c r="G18" s="354">
        <f t="shared" si="5"/>
        <v>102000000</v>
      </c>
      <c r="H18" s="1"/>
      <c r="I18" s="1"/>
      <c r="J18" s="1"/>
      <c r="K18" s="1"/>
    </row>
    <row r="19" spans="1:11" ht="30" customHeight="1">
      <c r="A19" s="355" t="s">
        <v>263</v>
      </c>
      <c r="B19" s="356" t="s">
        <v>129</v>
      </c>
      <c r="C19" s="351">
        <v>4</v>
      </c>
      <c r="D19" s="352"/>
      <c r="E19" s="352">
        <f t="shared" si="4"/>
        <v>4</v>
      </c>
      <c r="F19" s="357">
        <v>7500000</v>
      </c>
      <c r="G19" s="354">
        <f t="shared" si="5"/>
        <v>90000000</v>
      </c>
      <c r="H19" s="1"/>
      <c r="I19" s="1"/>
      <c r="J19" s="1"/>
      <c r="K19" s="1"/>
    </row>
    <row r="20" spans="1:11" ht="30" customHeight="1">
      <c r="A20" s="439" t="s">
        <v>268</v>
      </c>
      <c r="B20" s="440" t="s">
        <v>123</v>
      </c>
      <c r="C20" s="441">
        <v>4</v>
      </c>
      <c r="D20" s="441">
        <v>1</v>
      </c>
      <c r="E20" s="441">
        <v>3</v>
      </c>
      <c r="F20" s="442">
        <v>6000000</v>
      </c>
      <c r="G20" s="443">
        <f t="shared" si="5"/>
        <v>72000000</v>
      </c>
      <c r="H20" s="1"/>
      <c r="I20" s="1"/>
      <c r="J20" s="1"/>
      <c r="K20" s="1"/>
    </row>
    <row r="21" spans="1:11" ht="30" customHeight="1">
      <c r="A21" s="355" t="s">
        <v>277</v>
      </c>
      <c r="B21" s="356" t="s">
        <v>1911</v>
      </c>
      <c r="C21" s="351">
        <v>1</v>
      </c>
      <c r="D21" s="352"/>
      <c r="E21" s="352">
        <f t="shared" si="4"/>
        <v>1</v>
      </c>
      <c r="F21" s="357">
        <v>5600000</v>
      </c>
      <c r="G21" s="354">
        <f t="shared" si="5"/>
        <v>67200000</v>
      </c>
      <c r="H21" s="1"/>
      <c r="I21" s="1"/>
      <c r="J21" s="1"/>
      <c r="K21" s="1"/>
    </row>
    <row r="22" spans="1:11" ht="30" customHeight="1">
      <c r="A22" s="355" t="s">
        <v>278</v>
      </c>
      <c r="B22" s="356" t="s">
        <v>1912</v>
      </c>
      <c r="C22" s="351">
        <v>3</v>
      </c>
      <c r="D22" s="352"/>
      <c r="E22" s="352">
        <f t="shared" si="4"/>
        <v>3</v>
      </c>
      <c r="F22" s="357">
        <v>3600000</v>
      </c>
      <c r="G22" s="354">
        <f t="shared" si="5"/>
        <v>43200000</v>
      </c>
      <c r="H22" s="1"/>
      <c r="I22" s="1"/>
      <c r="J22" s="1"/>
      <c r="K22" s="1"/>
    </row>
    <row r="23" spans="1:11" ht="30" customHeight="1">
      <c r="A23" s="355" t="s">
        <v>305</v>
      </c>
      <c r="B23" s="356" t="s">
        <v>1913</v>
      </c>
      <c r="C23" s="351">
        <v>3</v>
      </c>
      <c r="D23" s="352"/>
      <c r="E23" s="352">
        <f t="shared" si="4"/>
        <v>3</v>
      </c>
      <c r="F23" s="357">
        <v>2600000</v>
      </c>
      <c r="G23" s="354">
        <f t="shared" si="5"/>
        <v>31200000</v>
      </c>
      <c r="H23" s="1"/>
      <c r="I23" s="1"/>
      <c r="J23" s="1"/>
      <c r="K23" s="1"/>
    </row>
    <row r="24" spans="1:11" ht="30" customHeight="1">
      <c r="A24" s="356" t="s">
        <v>360</v>
      </c>
      <c r="B24" s="356" t="s">
        <v>1914</v>
      </c>
      <c r="C24" s="351">
        <v>1</v>
      </c>
      <c r="D24" s="352"/>
      <c r="E24" s="352">
        <f t="shared" si="4"/>
        <v>1</v>
      </c>
      <c r="F24" s="357">
        <v>4500000</v>
      </c>
      <c r="G24" s="354">
        <f t="shared" si="5"/>
        <v>54000000</v>
      </c>
      <c r="H24" s="1"/>
      <c r="I24" s="1"/>
      <c r="J24" s="1"/>
      <c r="K24" s="1"/>
    </row>
    <row r="25" spans="1:11" ht="30" customHeight="1">
      <c r="A25" s="363" t="str">
        <f t="shared" ref="A25:G25" si="6">A13</f>
        <v>Research Assistant</v>
      </c>
      <c r="B25" s="363">
        <f t="shared" si="6"/>
        <v>0</v>
      </c>
      <c r="C25" s="352">
        <f t="shared" si="6"/>
        <v>0</v>
      </c>
      <c r="D25" s="352">
        <f t="shared" si="6"/>
        <v>0</v>
      </c>
      <c r="E25" s="352">
        <f t="shared" si="6"/>
        <v>1</v>
      </c>
      <c r="F25" s="364">
        <f t="shared" si="6"/>
        <v>4500000</v>
      </c>
      <c r="G25" s="374">
        <f t="shared" si="6"/>
        <v>54000000</v>
      </c>
      <c r="H25" s="1"/>
      <c r="I25" s="1"/>
      <c r="J25" s="1"/>
      <c r="K25" s="1"/>
    </row>
    <row r="26" spans="1:11" ht="30" customHeight="1">
      <c r="A26" s="345" t="s">
        <v>1909</v>
      </c>
      <c r="B26" s="356"/>
      <c r="C26" s="365">
        <f t="shared" ref="C26" si="7">SUM(C17:C24)</f>
        <v>19</v>
      </c>
      <c r="D26" s="366"/>
      <c r="E26" s="366">
        <f t="shared" si="4"/>
        <v>19</v>
      </c>
      <c r="F26" s="367"/>
      <c r="G26" s="354"/>
      <c r="H26" s="1"/>
      <c r="I26" s="1"/>
      <c r="J26" s="1"/>
      <c r="K26" s="1"/>
    </row>
    <row r="27" spans="1:11" ht="30" customHeight="1">
      <c r="A27" s="375"/>
      <c r="B27" s="376"/>
      <c r="C27" s="377"/>
      <c r="D27" s="377"/>
      <c r="E27" s="377"/>
      <c r="F27" s="378"/>
      <c r="G27" s="379"/>
      <c r="H27" s="1"/>
      <c r="I27" s="1"/>
      <c r="J27" s="1"/>
      <c r="K27" s="1"/>
    </row>
    <row r="28" spans="1:11" ht="30" customHeight="1">
      <c r="A28" s="350" t="s">
        <v>1915</v>
      </c>
      <c r="B28" s="350"/>
      <c r="C28" s="351"/>
      <c r="D28" s="352"/>
      <c r="E28" s="352"/>
      <c r="F28" s="373"/>
      <c r="G28" s="354"/>
      <c r="H28" s="1"/>
      <c r="I28" s="1"/>
      <c r="J28" s="1"/>
      <c r="K28" s="1"/>
    </row>
    <row r="29" spans="1:11" ht="30" customHeight="1">
      <c r="A29" s="355" t="s">
        <v>258</v>
      </c>
      <c r="B29" s="356" t="s">
        <v>109</v>
      </c>
      <c r="C29" s="351">
        <v>1</v>
      </c>
      <c r="D29" s="352"/>
      <c r="E29" s="352">
        <f t="shared" ref="E29:E36" si="8">C29</f>
        <v>1</v>
      </c>
      <c r="F29" s="357">
        <v>10600000</v>
      </c>
      <c r="G29" s="354">
        <f t="shared" si="5"/>
        <v>127200000</v>
      </c>
      <c r="H29" s="1"/>
      <c r="I29" s="1"/>
      <c r="J29" s="1"/>
      <c r="K29" s="1"/>
    </row>
    <row r="30" spans="1:11" ht="30" customHeight="1">
      <c r="A30" s="355" t="s">
        <v>262</v>
      </c>
      <c r="B30" s="356" t="s">
        <v>59</v>
      </c>
      <c r="C30" s="351">
        <v>2</v>
      </c>
      <c r="D30" s="352"/>
      <c r="E30" s="352">
        <f t="shared" si="8"/>
        <v>2</v>
      </c>
      <c r="F30" s="357">
        <v>8500000</v>
      </c>
      <c r="G30" s="354">
        <f t="shared" si="5"/>
        <v>102000000</v>
      </c>
      <c r="H30" s="1"/>
      <c r="I30" s="1"/>
      <c r="J30" s="1"/>
      <c r="K30" s="1"/>
    </row>
    <row r="31" spans="1:11" ht="30" customHeight="1">
      <c r="A31" s="355" t="s">
        <v>320</v>
      </c>
      <c r="B31" s="356" t="s">
        <v>129</v>
      </c>
      <c r="C31" s="351">
        <v>3</v>
      </c>
      <c r="D31" s="352"/>
      <c r="E31" s="352">
        <f t="shared" si="8"/>
        <v>3</v>
      </c>
      <c r="F31" s="357">
        <v>7500000</v>
      </c>
      <c r="G31" s="354">
        <f t="shared" si="5"/>
        <v>90000000</v>
      </c>
      <c r="H31" s="1"/>
      <c r="I31" s="1"/>
      <c r="J31" s="1"/>
      <c r="K31" s="1"/>
    </row>
    <row r="32" spans="1:11" ht="30" customHeight="1">
      <c r="A32" s="355" t="s">
        <v>326</v>
      </c>
      <c r="B32" s="356" t="s">
        <v>123</v>
      </c>
      <c r="C32" s="351">
        <v>4</v>
      </c>
      <c r="D32" s="352"/>
      <c r="E32" s="352">
        <f t="shared" si="8"/>
        <v>4</v>
      </c>
      <c r="F32" s="357">
        <v>6000000</v>
      </c>
      <c r="G32" s="354">
        <f t="shared" si="5"/>
        <v>72000000</v>
      </c>
      <c r="H32" s="1"/>
      <c r="I32" s="1"/>
      <c r="J32" s="1"/>
      <c r="K32" s="1"/>
    </row>
    <row r="33" spans="1:11" ht="30" customHeight="1">
      <c r="A33" s="355" t="s">
        <v>277</v>
      </c>
      <c r="B33" s="356" t="s">
        <v>1911</v>
      </c>
      <c r="C33" s="351">
        <v>1</v>
      </c>
      <c r="D33" s="352"/>
      <c r="E33" s="352">
        <f t="shared" si="8"/>
        <v>1</v>
      </c>
      <c r="F33" s="357">
        <v>5600000</v>
      </c>
      <c r="G33" s="354">
        <f t="shared" si="5"/>
        <v>67200000</v>
      </c>
      <c r="H33" s="1"/>
      <c r="I33" s="1"/>
      <c r="J33" s="1"/>
      <c r="K33" s="1"/>
    </row>
    <row r="34" spans="1:11" ht="30" customHeight="1">
      <c r="A34" s="355" t="s">
        <v>333</v>
      </c>
      <c r="B34" s="356" t="s">
        <v>1914</v>
      </c>
      <c r="C34" s="351">
        <v>1</v>
      </c>
      <c r="D34" s="352"/>
      <c r="E34" s="352">
        <f t="shared" si="8"/>
        <v>1</v>
      </c>
      <c r="F34" s="357">
        <v>4500000</v>
      </c>
      <c r="G34" s="354">
        <f t="shared" si="5"/>
        <v>54000000</v>
      </c>
      <c r="H34" s="1"/>
      <c r="I34" s="1"/>
      <c r="J34" s="1"/>
      <c r="K34" s="1"/>
    </row>
    <row r="35" spans="1:11" ht="30" customHeight="1">
      <c r="A35" s="355" t="s">
        <v>334</v>
      </c>
      <c r="B35" s="356" t="s">
        <v>1912</v>
      </c>
      <c r="C35" s="351">
        <v>1</v>
      </c>
      <c r="D35" s="352"/>
      <c r="E35" s="352">
        <f t="shared" si="8"/>
        <v>1</v>
      </c>
      <c r="F35" s="357">
        <v>3600000</v>
      </c>
      <c r="G35" s="354">
        <f t="shared" si="5"/>
        <v>43200000</v>
      </c>
      <c r="H35" s="1"/>
      <c r="I35" s="1"/>
      <c r="J35" s="1"/>
      <c r="K35" s="1"/>
    </row>
    <row r="36" spans="1:11" ht="30" customHeight="1">
      <c r="A36" s="355" t="s">
        <v>286</v>
      </c>
      <c r="B36" s="356" t="s">
        <v>1913</v>
      </c>
      <c r="C36" s="351">
        <v>3</v>
      </c>
      <c r="D36" s="352"/>
      <c r="E36" s="352">
        <f t="shared" si="8"/>
        <v>3</v>
      </c>
      <c r="F36" s="357">
        <v>2600000</v>
      </c>
      <c r="G36" s="354">
        <f t="shared" si="5"/>
        <v>31200000</v>
      </c>
      <c r="H36" s="1"/>
      <c r="I36" s="1"/>
      <c r="J36" s="1"/>
      <c r="K36" s="1"/>
    </row>
    <row r="37" spans="1:11" ht="30" customHeight="1">
      <c r="A37" s="362" t="str">
        <f t="shared" ref="A37:G37" si="9">A25</f>
        <v>Research Assistant</v>
      </c>
      <c r="B37" s="363">
        <f t="shared" si="9"/>
        <v>0</v>
      </c>
      <c r="C37" s="352">
        <f t="shared" si="9"/>
        <v>0</v>
      </c>
      <c r="D37" s="352">
        <f t="shared" si="9"/>
        <v>0</v>
      </c>
      <c r="E37" s="352">
        <f t="shared" si="9"/>
        <v>1</v>
      </c>
      <c r="F37" s="364">
        <f t="shared" si="9"/>
        <v>4500000</v>
      </c>
      <c r="G37" s="374">
        <f t="shared" si="9"/>
        <v>54000000</v>
      </c>
      <c r="H37" s="1"/>
      <c r="I37" s="1"/>
      <c r="J37" s="1"/>
      <c r="K37" s="1"/>
    </row>
    <row r="38" spans="1:11" ht="30" customHeight="1">
      <c r="A38" s="345" t="s">
        <v>1909</v>
      </c>
      <c r="B38" s="350"/>
      <c r="C38" s="365">
        <f t="shared" ref="C38" si="10">SUM(C29:C36)</f>
        <v>16</v>
      </c>
      <c r="D38" s="366"/>
      <c r="E38" s="366">
        <f>SUM(E29:E37)</f>
        <v>17</v>
      </c>
      <c r="F38" s="367"/>
      <c r="G38" s="354"/>
      <c r="H38" s="1"/>
      <c r="I38" s="1"/>
      <c r="J38" s="1"/>
      <c r="K38" s="1"/>
    </row>
    <row r="39" spans="1:11" ht="30" customHeight="1">
      <c r="A39" s="368"/>
      <c r="B39" s="369"/>
      <c r="C39" s="377"/>
      <c r="D39" s="377"/>
      <c r="E39" s="377"/>
      <c r="F39" s="378"/>
      <c r="G39" s="379"/>
      <c r="H39" s="1"/>
      <c r="I39" s="1"/>
      <c r="J39" s="1"/>
      <c r="K39" s="1"/>
    </row>
    <row r="40" spans="1:11" ht="30" customHeight="1">
      <c r="A40" s="537" t="s">
        <v>1916</v>
      </c>
      <c r="B40" s="537"/>
      <c r="C40" s="537"/>
      <c r="D40" s="380"/>
      <c r="E40" s="380"/>
      <c r="F40" s="373"/>
      <c r="G40" s="354"/>
      <c r="H40" s="1"/>
      <c r="I40" s="1"/>
      <c r="J40" s="1"/>
      <c r="K40" s="1"/>
    </row>
    <row r="41" spans="1:11" ht="30" customHeight="1">
      <c r="A41" s="355" t="s">
        <v>258</v>
      </c>
      <c r="B41" s="356" t="s">
        <v>109</v>
      </c>
      <c r="C41" s="351">
        <v>1</v>
      </c>
      <c r="D41" s="352"/>
      <c r="E41" s="352">
        <v>1</v>
      </c>
      <c r="F41" s="357">
        <v>10600000</v>
      </c>
      <c r="G41" s="354">
        <f t="shared" si="5"/>
        <v>127200000</v>
      </c>
      <c r="H41" s="1"/>
      <c r="I41" s="1"/>
      <c r="J41" s="1"/>
      <c r="K41" s="1"/>
    </row>
    <row r="42" spans="1:11" ht="30" customHeight="1">
      <c r="A42" s="355" t="s">
        <v>308</v>
      </c>
      <c r="B42" s="356" t="s">
        <v>59</v>
      </c>
      <c r="C42" s="351">
        <v>2</v>
      </c>
      <c r="D42" s="352"/>
      <c r="E42" s="352">
        <v>2</v>
      </c>
      <c r="F42" s="357">
        <v>8500000</v>
      </c>
      <c r="G42" s="354">
        <f t="shared" si="5"/>
        <v>102000000</v>
      </c>
      <c r="H42" s="1"/>
      <c r="I42" s="1"/>
      <c r="J42" s="1"/>
      <c r="K42" s="1"/>
    </row>
    <row r="43" spans="1:11" ht="30" customHeight="1">
      <c r="A43" s="355" t="s">
        <v>343</v>
      </c>
      <c r="B43" s="356" t="s">
        <v>129</v>
      </c>
      <c r="C43" s="351">
        <v>3</v>
      </c>
      <c r="D43" s="352"/>
      <c r="E43" s="352">
        <v>3</v>
      </c>
      <c r="F43" s="357">
        <v>7500000</v>
      </c>
      <c r="G43" s="354">
        <f t="shared" si="5"/>
        <v>90000000</v>
      </c>
      <c r="H43" s="1"/>
      <c r="I43" s="1"/>
      <c r="J43" s="1"/>
      <c r="K43" s="1"/>
    </row>
    <row r="44" spans="1:11" ht="30" customHeight="1">
      <c r="A44" s="439" t="s">
        <v>346</v>
      </c>
      <c r="B44" s="440" t="s">
        <v>123</v>
      </c>
      <c r="C44" s="441">
        <v>6</v>
      </c>
      <c r="D44" s="441">
        <v>1</v>
      </c>
      <c r="E44" s="441">
        <v>5</v>
      </c>
      <c r="F44" s="442">
        <v>6000000</v>
      </c>
      <c r="G44" s="443">
        <f t="shared" si="5"/>
        <v>72000000</v>
      </c>
      <c r="H44" s="1"/>
      <c r="I44" s="1"/>
      <c r="J44" s="1"/>
      <c r="K44" s="1"/>
    </row>
    <row r="45" spans="1:11" ht="30" customHeight="1">
      <c r="A45" s="355" t="s">
        <v>353</v>
      </c>
      <c r="B45" s="356" t="s">
        <v>1914</v>
      </c>
      <c r="C45" s="351">
        <v>1</v>
      </c>
      <c r="D45" s="352"/>
      <c r="E45" s="352">
        <v>1</v>
      </c>
      <c r="F45" s="357">
        <v>4500000</v>
      </c>
      <c r="G45" s="354">
        <f t="shared" si="5"/>
        <v>54000000</v>
      </c>
    </row>
    <row r="46" spans="1:11" ht="30" customHeight="1">
      <c r="A46" s="355" t="s">
        <v>354</v>
      </c>
      <c r="B46" s="356" t="s">
        <v>1912</v>
      </c>
      <c r="C46" s="351">
        <v>2</v>
      </c>
      <c r="D46" s="352"/>
      <c r="E46" s="352">
        <v>2</v>
      </c>
      <c r="F46" s="357">
        <v>3600000</v>
      </c>
      <c r="G46" s="354">
        <f t="shared" si="5"/>
        <v>43200000</v>
      </c>
    </row>
    <row r="47" spans="1:11" ht="30" customHeight="1">
      <c r="A47" s="355" t="s">
        <v>357</v>
      </c>
      <c r="B47" s="356" t="s">
        <v>1913</v>
      </c>
      <c r="C47" s="351">
        <v>7</v>
      </c>
      <c r="D47" s="352"/>
      <c r="E47" s="352">
        <v>7</v>
      </c>
      <c r="F47" s="357">
        <v>2600000</v>
      </c>
      <c r="G47" s="354">
        <f t="shared" si="5"/>
        <v>31200000</v>
      </c>
    </row>
    <row r="48" spans="1:11" ht="30" customHeight="1">
      <c r="A48" s="356" t="s">
        <v>360</v>
      </c>
      <c r="B48" s="356" t="s">
        <v>1914</v>
      </c>
      <c r="C48" s="351">
        <v>0</v>
      </c>
      <c r="D48" s="352"/>
      <c r="E48" s="352">
        <v>0</v>
      </c>
      <c r="F48" s="357">
        <v>4500000</v>
      </c>
      <c r="G48" s="354">
        <f t="shared" si="5"/>
        <v>54000000</v>
      </c>
    </row>
    <row r="49" spans="1:7" ht="30" customHeight="1">
      <c r="A49" s="350" t="s">
        <v>1909</v>
      </c>
      <c r="B49" s="350"/>
      <c r="C49" s="365">
        <f>SUM(C41:C48)</f>
        <v>22</v>
      </c>
      <c r="D49" s="366"/>
      <c r="E49" s="366">
        <f>SUM(E41:E48)</f>
        <v>21</v>
      </c>
      <c r="F49" s="367"/>
      <c r="G49" s="354"/>
    </row>
    <row r="50" spans="1:7" ht="30" customHeight="1">
      <c r="A50" s="381"/>
      <c r="B50" s="382"/>
      <c r="C50" s="370"/>
      <c r="D50" s="370"/>
      <c r="E50" s="351"/>
      <c r="F50" s="383"/>
      <c r="G50" s="372"/>
    </row>
    <row r="51" spans="1:7" ht="30" customHeight="1">
      <c r="A51" s="347" t="s">
        <v>428</v>
      </c>
      <c r="B51" s="347"/>
      <c r="C51" s="384"/>
      <c r="D51" s="384"/>
      <c r="E51" s="384"/>
      <c r="F51" s="385"/>
      <c r="G51" s="349"/>
    </row>
    <row r="52" spans="1:7" ht="30" customHeight="1">
      <c r="A52" s="386" t="s">
        <v>1917</v>
      </c>
      <c r="B52" s="387"/>
      <c r="C52" s="388"/>
      <c r="D52" s="389"/>
      <c r="E52" s="389"/>
      <c r="F52" s="390"/>
      <c r="G52" s="354"/>
    </row>
    <row r="53" spans="1:7" ht="30" customHeight="1">
      <c r="A53" s="359" t="s">
        <v>108</v>
      </c>
      <c r="B53" s="359" t="s">
        <v>109</v>
      </c>
      <c r="C53" s="360">
        <v>3</v>
      </c>
      <c r="D53" s="352"/>
      <c r="E53" s="352">
        <f t="shared" ref="E53:E61" si="11">C53</f>
        <v>3</v>
      </c>
      <c r="F53" s="391">
        <v>10600000</v>
      </c>
      <c r="G53" s="354">
        <f t="shared" ref="G53:G70" si="12">(F53*12)</f>
        <v>127200000</v>
      </c>
    </row>
    <row r="54" spans="1:7" ht="30" customHeight="1">
      <c r="A54" s="359" t="s">
        <v>291</v>
      </c>
      <c r="B54" s="359" t="s">
        <v>59</v>
      </c>
      <c r="C54" s="360">
        <v>4</v>
      </c>
      <c r="D54" s="352"/>
      <c r="E54" s="352">
        <f t="shared" si="11"/>
        <v>4</v>
      </c>
      <c r="F54" s="391">
        <v>8500000</v>
      </c>
      <c r="G54" s="354">
        <f t="shared" si="12"/>
        <v>102000000</v>
      </c>
    </row>
    <row r="55" spans="1:7" ht="30" customHeight="1">
      <c r="A55" s="359" t="s">
        <v>1918</v>
      </c>
      <c r="B55" s="359" t="s">
        <v>129</v>
      </c>
      <c r="C55" s="360">
        <v>6</v>
      </c>
      <c r="D55" s="352"/>
      <c r="E55" s="352">
        <f t="shared" si="11"/>
        <v>6</v>
      </c>
      <c r="F55" s="392">
        <v>7500000</v>
      </c>
      <c r="G55" s="354">
        <f t="shared" si="12"/>
        <v>90000000</v>
      </c>
    </row>
    <row r="56" spans="1:7" ht="30" customHeight="1">
      <c r="A56" s="440" t="s">
        <v>326</v>
      </c>
      <c r="B56" s="440" t="s">
        <v>123</v>
      </c>
      <c r="C56" s="441">
        <v>6</v>
      </c>
      <c r="D56" s="441">
        <v>1</v>
      </c>
      <c r="E56" s="441">
        <v>5</v>
      </c>
      <c r="F56" s="444">
        <v>6000000</v>
      </c>
      <c r="G56" s="443">
        <f t="shared" si="12"/>
        <v>72000000</v>
      </c>
    </row>
    <row r="57" spans="1:7" ht="30" customHeight="1">
      <c r="A57" s="359" t="s">
        <v>333</v>
      </c>
      <c r="B57" s="359" t="s">
        <v>1914</v>
      </c>
      <c r="C57" s="360">
        <v>3</v>
      </c>
      <c r="D57" s="352"/>
      <c r="E57" s="352">
        <f t="shared" si="11"/>
        <v>3</v>
      </c>
      <c r="F57" s="392">
        <v>4500000</v>
      </c>
      <c r="G57" s="354">
        <f t="shared" si="12"/>
        <v>54000000</v>
      </c>
    </row>
    <row r="58" spans="1:7" ht="30" customHeight="1">
      <c r="A58" s="359" t="s">
        <v>621</v>
      </c>
      <c r="B58" s="359" t="s">
        <v>1912</v>
      </c>
      <c r="C58" s="360">
        <v>3</v>
      </c>
      <c r="D58" s="352"/>
      <c r="E58" s="352">
        <f t="shared" si="11"/>
        <v>3</v>
      </c>
      <c r="F58" s="392">
        <v>3600000</v>
      </c>
      <c r="G58" s="354">
        <f t="shared" si="12"/>
        <v>43200000</v>
      </c>
    </row>
    <row r="59" spans="1:7" ht="30" customHeight="1">
      <c r="A59" s="359" t="s">
        <v>627</v>
      </c>
      <c r="B59" s="359" t="s">
        <v>1913</v>
      </c>
      <c r="C59" s="360">
        <v>6</v>
      </c>
      <c r="D59" s="352"/>
      <c r="E59" s="352">
        <f t="shared" si="11"/>
        <v>6</v>
      </c>
      <c r="F59" s="392">
        <v>2600000</v>
      </c>
      <c r="G59" s="354">
        <f t="shared" si="12"/>
        <v>31200000</v>
      </c>
    </row>
    <row r="60" spans="1:7" ht="30" customHeight="1">
      <c r="A60" s="362" t="s">
        <v>1942</v>
      </c>
      <c r="B60" s="363">
        <f>B71</f>
        <v>0</v>
      </c>
      <c r="C60" s="352">
        <f>C71</f>
        <v>0</v>
      </c>
      <c r="D60" s="352">
        <f>D71</f>
        <v>0</v>
      </c>
      <c r="E60" s="352">
        <f>E71</f>
        <v>1</v>
      </c>
      <c r="F60" s="393">
        <v>4500000</v>
      </c>
      <c r="G60" s="374">
        <f>(F60*12)</f>
        <v>54000000</v>
      </c>
    </row>
    <row r="61" spans="1:7" ht="30" customHeight="1">
      <c r="A61" s="386" t="s">
        <v>1909</v>
      </c>
      <c r="B61" s="359"/>
      <c r="C61" s="394">
        <f>SUM(C53:C59)</f>
        <v>31</v>
      </c>
      <c r="D61" s="366"/>
      <c r="E61" s="366">
        <f t="shared" si="11"/>
        <v>31</v>
      </c>
      <c r="F61" s="395"/>
      <c r="G61" s="354"/>
    </row>
    <row r="62" spans="1:7" ht="30" customHeight="1">
      <c r="A62" s="396"/>
      <c r="B62" s="376"/>
      <c r="C62" s="397"/>
      <c r="D62" s="397"/>
      <c r="E62" s="397"/>
      <c r="F62" s="398"/>
      <c r="G62" s="379"/>
    </row>
    <row r="63" spans="1:7" ht="30" customHeight="1">
      <c r="A63" s="350" t="s">
        <v>1919</v>
      </c>
      <c r="B63" s="350"/>
      <c r="C63" s="351"/>
      <c r="D63" s="352"/>
      <c r="E63" s="352"/>
      <c r="F63" s="373"/>
      <c r="G63" s="354"/>
    </row>
    <row r="64" spans="1:7" ht="30" customHeight="1">
      <c r="A64" s="356" t="s">
        <v>108</v>
      </c>
      <c r="B64" s="356" t="s">
        <v>109</v>
      </c>
      <c r="C64" s="351">
        <v>1</v>
      </c>
      <c r="D64" s="352"/>
      <c r="E64" s="352">
        <f t="shared" ref="E64:E70" si="13">C64</f>
        <v>1</v>
      </c>
      <c r="F64" s="399">
        <v>10600000</v>
      </c>
      <c r="G64" s="354">
        <f t="shared" si="12"/>
        <v>127200000</v>
      </c>
    </row>
    <row r="65" spans="1:7" ht="30" customHeight="1">
      <c r="A65" s="356" t="s">
        <v>308</v>
      </c>
      <c r="B65" s="356" t="s">
        <v>59</v>
      </c>
      <c r="C65" s="351">
        <v>2</v>
      </c>
      <c r="D65" s="352"/>
      <c r="E65" s="352">
        <f t="shared" si="13"/>
        <v>2</v>
      </c>
      <c r="F65" s="399">
        <v>8500000</v>
      </c>
      <c r="G65" s="354">
        <f t="shared" si="12"/>
        <v>102000000</v>
      </c>
    </row>
    <row r="66" spans="1:7" ht="30" customHeight="1">
      <c r="A66" s="356" t="s">
        <v>320</v>
      </c>
      <c r="B66" s="356" t="s">
        <v>129</v>
      </c>
      <c r="C66" s="351">
        <v>2</v>
      </c>
      <c r="D66" s="352"/>
      <c r="E66" s="352">
        <f t="shared" si="13"/>
        <v>2</v>
      </c>
      <c r="F66" s="400">
        <v>7500000</v>
      </c>
      <c r="G66" s="354">
        <f t="shared" si="12"/>
        <v>90000000</v>
      </c>
    </row>
    <row r="67" spans="1:7" ht="30" customHeight="1">
      <c r="A67" s="356" t="s">
        <v>326</v>
      </c>
      <c r="B67" s="356" t="s">
        <v>123</v>
      </c>
      <c r="C67" s="351">
        <v>4</v>
      </c>
      <c r="D67" s="352"/>
      <c r="E67" s="352">
        <f t="shared" si="13"/>
        <v>4</v>
      </c>
      <c r="F67" s="399">
        <v>6000000</v>
      </c>
      <c r="G67" s="354">
        <f t="shared" si="12"/>
        <v>72000000</v>
      </c>
    </row>
    <row r="68" spans="1:7" ht="30" customHeight="1">
      <c r="A68" s="356" t="s">
        <v>333</v>
      </c>
      <c r="B68" s="356" t="s">
        <v>1914</v>
      </c>
      <c r="C68" s="351">
        <v>1</v>
      </c>
      <c r="D68" s="352"/>
      <c r="E68" s="352">
        <f t="shared" si="13"/>
        <v>1</v>
      </c>
      <c r="F68" s="399">
        <v>4500000</v>
      </c>
      <c r="G68" s="354">
        <f t="shared" si="12"/>
        <v>54000000</v>
      </c>
    </row>
    <row r="69" spans="1:7" ht="30" customHeight="1">
      <c r="A69" s="356" t="s">
        <v>621</v>
      </c>
      <c r="B69" s="356" t="s">
        <v>1912</v>
      </c>
      <c r="C69" s="351">
        <v>3</v>
      </c>
      <c r="D69" s="352"/>
      <c r="E69" s="352">
        <f t="shared" si="13"/>
        <v>3</v>
      </c>
      <c r="F69" s="399">
        <v>3600000</v>
      </c>
      <c r="G69" s="354">
        <f t="shared" si="12"/>
        <v>43200000</v>
      </c>
    </row>
    <row r="70" spans="1:7" ht="30" customHeight="1">
      <c r="A70" s="356" t="s">
        <v>627</v>
      </c>
      <c r="B70" s="356" t="s">
        <v>1913</v>
      </c>
      <c r="C70" s="351">
        <v>3</v>
      </c>
      <c r="D70" s="352"/>
      <c r="E70" s="352">
        <f t="shared" si="13"/>
        <v>3</v>
      </c>
      <c r="F70" s="399">
        <v>2600000</v>
      </c>
      <c r="G70" s="354">
        <f t="shared" si="12"/>
        <v>31200000</v>
      </c>
    </row>
    <row r="71" spans="1:7" ht="30" customHeight="1">
      <c r="A71" s="362" t="s">
        <v>1942</v>
      </c>
      <c r="B71" s="363"/>
      <c r="C71" s="352">
        <f t="shared" ref="C71:G71" si="14">C37</f>
        <v>0</v>
      </c>
      <c r="D71" s="352">
        <f t="shared" si="14"/>
        <v>0</v>
      </c>
      <c r="E71" s="352">
        <f t="shared" si="14"/>
        <v>1</v>
      </c>
      <c r="F71" s="401">
        <f t="shared" si="14"/>
        <v>4500000</v>
      </c>
      <c r="G71" s="374">
        <f t="shared" si="14"/>
        <v>54000000</v>
      </c>
    </row>
    <row r="72" spans="1:7" ht="30" customHeight="1">
      <c r="A72" s="402" t="s">
        <v>1909</v>
      </c>
      <c r="B72" s="402"/>
      <c r="C72" s="365">
        <f t="shared" ref="C72" si="15">SUM(C64:C70)</f>
        <v>16</v>
      </c>
      <c r="D72" s="366"/>
      <c r="E72" s="366">
        <f>SUM(E64:E71)</f>
        <v>17</v>
      </c>
      <c r="F72" s="367"/>
      <c r="G72" s="354"/>
    </row>
    <row r="73" spans="1:7" ht="30" customHeight="1">
      <c r="A73" s="347" t="s">
        <v>1920</v>
      </c>
      <c r="B73" s="347"/>
      <c r="C73" s="403"/>
      <c r="D73" s="403"/>
      <c r="E73" s="403"/>
      <c r="F73" s="385"/>
      <c r="G73" s="404"/>
    </row>
    <row r="74" spans="1:7" ht="30" customHeight="1">
      <c r="A74" s="386" t="s">
        <v>1921</v>
      </c>
      <c r="B74" s="386"/>
      <c r="C74" s="405"/>
      <c r="D74" s="406"/>
      <c r="E74" s="406"/>
      <c r="F74" s="407"/>
      <c r="G74" s="354"/>
    </row>
    <row r="75" spans="1:7" ht="30" customHeight="1">
      <c r="A75" s="359" t="s">
        <v>108</v>
      </c>
      <c r="B75" s="359" t="s">
        <v>109</v>
      </c>
      <c r="C75" s="405">
        <v>1</v>
      </c>
      <c r="D75" s="406"/>
      <c r="E75" s="406">
        <f t="shared" ref="E75:E82" si="16">C75</f>
        <v>1</v>
      </c>
      <c r="F75" s="361">
        <v>10600000</v>
      </c>
      <c r="G75" s="354">
        <f t="shared" ref="G75:G92" si="17">(F75*12)</f>
        <v>127200000</v>
      </c>
    </row>
    <row r="76" spans="1:7" ht="30" customHeight="1">
      <c r="A76" s="359" t="s">
        <v>291</v>
      </c>
      <c r="B76" s="359" t="s">
        <v>59</v>
      </c>
      <c r="C76" s="405">
        <v>1</v>
      </c>
      <c r="D76" s="406"/>
      <c r="E76" s="406">
        <f t="shared" si="16"/>
        <v>1</v>
      </c>
      <c r="F76" s="399">
        <v>8500000</v>
      </c>
      <c r="G76" s="354">
        <f t="shared" si="17"/>
        <v>102000000</v>
      </c>
    </row>
    <row r="77" spans="1:7" ht="30" customHeight="1">
      <c r="A77" s="359" t="s">
        <v>320</v>
      </c>
      <c r="B77" s="359" t="s">
        <v>129</v>
      </c>
      <c r="C77" s="405">
        <v>3</v>
      </c>
      <c r="D77" s="406"/>
      <c r="E77" s="406">
        <f t="shared" si="16"/>
        <v>3</v>
      </c>
      <c r="F77" s="400">
        <v>7500000</v>
      </c>
      <c r="G77" s="354">
        <f t="shared" si="17"/>
        <v>90000000</v>
      </c>
    </row>
    <row r="78" spans="1:7" ht="30" customHeight="1">
      <c r="A78" s="359" t="s">
        <v>524</v>
      </c>
      <c r="B78" s="359" t="s">
        <v>123</v>
      </c>
      <c r="C78" s="405">
        <v>4</v>
      </c>
      <c r="D78" s="406"/>
      <c r="E78" s="406">
        <f t="shared" si="16"/>
        <v>4</v>
      </c>
      <c r="F78" s="399">
        <v>6000000</v>
      </c>
      <c r="G78" s="354">
        <f t="shared" si="17"/>
        <v>72000000</v>
      </c>
    </row>
    <row r="79" spans="1:7" ht="30" customHeight="1">
      <c r="A79" s="359" t="s">
        <v>360</v>
      </c>
      <c r="B79" s="359" t="s">
        <v>1914</v>
      </c>
      <c r="C79" s="405">
        <v>1</v>
      </c>
      <c r="D79" s="406"/>
      <c r="E79" s="406">
        <f t="shared" si="16"/>
        <v>1</v>
      </c>
      <c r="F79" s="399">
        <v>4500000</v>
      </c>
      <c r="G79" s="354">
        <f t="shared" si="17"/>
        <v>54000000</v>
      </c>
    </row>
    <row r="80" spans="1:7" ht="30" customHeight="1">
      <c r="A80" s="359" t="s">
        <v>333</v>
      </c>
      <c r="B80" s="359" t="s">
        <v>1914</v>
      </c>
      <c r="C80" s="405">
        <v>1</v>
      </c>
      <c r="D80" s="406"/>
      <c r="E80" s="406">
        <f t="shared" si="16"/>
        <v>1</v>
      </c>
      <c r="F80" s="399">
        <v>4500000</v>
      </c>
      <c r="G80" s="354">
        <f t="shared" si="17"/>
        <v>54000000</v>
      </c>
    </row>
    <row r="81" spans="1:7" ht="30" customHeight="1">
      <c r="A81" s="359" t="s">
        <v>621</v>
      </c>
      <c r="B81" s="359" t="s">
        <v>1912</v>
      </c>
      <c r="C81" s="405">
        <v>3</v>
      </c>
      <c r="D81" s="406"/>
      <c r="E81" s="406">
        <f t="shared" si="16"/>
        <v>3</v>
      </c>
      <c r="F81" s="399">
        <v>3600000</v>
      </c>
      <c r="G81" s="354">
        <f t="shared" si="17"/>
        <v>43200000</v>
      </c>
    </row>
    <row r="82" spans="1:7" ht="30" customHeight="1">
      <c r="A82" s="358" t="s">
        <v>627</v>
      </c>
      <c r="B82" s="359" t="s">
        <v>1913</v>
      </c>
      <c r="C82" s="360">
        <v>3</v>
      </c>
      <c r="D82" s="352"/>
      <c r="E82" s="352">
        <f t="shared" si="16"/>
        <v>3</v>
      </c>
      <c r="F82" s="399">
        <v>2600000</v>
      </c>
      <c r="G82" s="354">
        <f t="shared" si="17"/>
        <v>31200000</v>
      </c>
    </row>
    <row r="83" spans="1:7" ht="30" customHeight="1">
      <c r="A83" s="362" t="s">
        <v>1942</v>
      </c>
      <c r="B83" s="363"/>
      <c r="C83" s="352">
        <f>C71</f>
        <v>0</v>
      </c>
      <c r="D83" s="352">
        <f>D71</f>
        <v>0</v>
      </c>
      <c r="E83" s="352">
        <v>1</v>
      </c>
      <c r="F83" s="401">
        <v>4500000</v>
      </c>
      <c r="G83" s="374">
        <f>(F83*12)</f>
        <v>54000000</v>
      </c>
    </row>
    <row r="84" spans="1:7" ht="30" customHeight="1">
      <c r="A84" s="387" t="s">
        <v>1909</v>
      </c>
      <c r="B84" s="386"/>
      <c r="C84" s="394">
        <f t="shared" ref="C84" si="18">SUM(C75:C82)</f>
        <v>17</v>
      </c>
      <c r="D84" s="366"/>
      <c r="E84" s="366">
        <v>18</v>
      </c>
      <c r="F84" s="395"/>
      <c r="G84" s="354"/>
    </row>
    <row r="85" spans="1:7" ht="30" customHeight="1">
      <c r="A85" s="408"/>
      <c r="B85" s="382"/>
      <c r="C85" s="370"/>
      <c r="D85" s="370"/>
      <c r="E85" s="409"/>
      <c r="F85" s="371"/>
      <c r="G85" s="372"/>
    </row>
    <row r="86" spans="1:7" ht="30" customHeight="1">
      <c r="A86" s="386" t="s">
        <v>1922</v>
      </c>
      <c r="B86" s="386"/>
      <c r="C86" s="405"/>
      <c r="D86" s="406"/>
      <c r="E86" s="406"/>
      <c r="F86" s="407"/>
      <c r="G86" s="354"/>
    </row>
    <row r="87" spans="1:7" ht="30" customHeight="1">
      <c r="A87" s="359" t="s">
        <v>108</v>
      </c>
      <c r="B87" s="359" t="s">
        <v>109</v>
      </c>
      <c r="C87" s="405">
        <v>1</v>
      </c>
      <c r="D87" s="406"/>
      <c r="E87" s="406">
        <f t="shared" ref="E87:E92" si="19">C87</f>
        <v>1</v>
      </c>
      <c r="F87" s="361">
        <v>10600000</v>
      </c>
      <c r="G87" s="354">
        <f t="shared" si="17"/>
        <v>127200000</v>
      </c>
    </row>
    <row r="88" spans="1:7" ht="30" customHeight="1">
      <c r="A88" s="359" t="s">
        <v>291</v>
      </c>
      <c r="B88" s="359" t="s">
        <v>59</v>
      </c>
      <c r="C88" s="405">
        <v>2</v>
      </c>
      <c r="D88" s="406"/>
      <c r="E88" s="406">
        <f t="shared" si="19"/>
        <v>2</v>
      </c>
      <c r="F88" s="399">
        <v>8500000</v>
      </c>
      <c r="G88" s="354">
        <f t="shared" si="17"/>
        <v>102000000</v>
      </c>
    </row>
    <row r="89" spans="1:7" ht="30" customHeight="1">
      <c r="A89" s="359" t="s">
        <v>320</v>
      </c>
      <c r="B89" s="359" t="s">
        <v>129</v>
      </c>
      <c r="C89" s="405">
        <v>2</v>
      </c>
      <c r="D89" s="406"/>
      <c r="E89" s="406">
        <f t="shared" si="19"/>
        <v>2</v>
      </c>
      <c r="F89" s="400">
        <v>7500000</v>
      </c>
      <c r="G89" s="354">
        <f t="shared" si="17"/>
        <v>90000000</v>
      </c>
    </row>
    <row r="90" spans="1:7" ht="30" customHeight="1">
      <c r="A90" s="359" t="s">
        <v>524</v>
      </c>
      <c r="B90" s="359" t="s">
        <v>123</v>
      </c>
      <c r="C90" s="405">
        <v>2</v>
      </c>
      <c r="D90" s="406"/>
      <c r="E90" s="406">
        <f t="shared" si="19"/>
        <v>2</v>
      </c>
      <c r="F90" s="399">
        <v>6000000</v>
      </c>
      <c r="G90" s="354">
        <f t="shared" si="17"/>
        <v>72000000</v>
      </c>
    </row>
    <row r="91" spans="1:7" ht="30" customHeight="1">
      <c r="A91" s="359" t="s">
        <v>621</v>
      </c>
      <c r="B91" s="359" t="s">
        <v>1912</v>
      </c>
      <c r="C91" s="405">
        <v>1</v>
      </c>
      <c r="D91" s="406"/>
      <c r="E91" s="406">
        <f t="shared" si="19"/>
        <v>1</v>
      </c>
      <c r="F91" s="361">
        <v>3600000</v>
      </c>
      <c r="G91" s="354">
        <f t="shared" si="17"/>
        <v>43200000</v>
      </c>
    </row>
    <row r="92" spans="1:7" ht="30" customHeight="1">
      <c r="A92" s="359" t="s">
        <v>627</v>
      </c>
      <c r="B92" s="359" t="s">
        <v>1913</v>
      </c>
      <c r="C92" s="405">
        <v>2</v>
      </c>
      <c r="D92" s="406"/>
      <c r="E92" s="406">
        <f t="shared" si="19"/>
        <v>2</v>
      </c>
      <c r="F92" s="361">
        <v>2600000</v>
      </c>
      <c r="G92" s="354">
        <f t="shared" si="17"/>
        <v>31200000</v>
      </c>
    </row>
    <row r="93" spans="1:7" ht="30" customHeight="1">
      <c r="A93" s="363" t="str">
        <f>A83</f>
        <v>Research Assistant</v>
      </c>
      <c r="B93" s="363"/>
      <c r="C93" s="406">
        <f>C83</f>
        <v>0</v>
      </c>
      <c r="D93" s="406">
        <f>D83</f>
        <v>0</v>
      </c>
      <c r="E93" s="406">
        <v>1</v>
      </c>
      <c r="F93" s="364">
        <f>F83</f>
        <v>4500000</v>
      </c>
      <c r="G93" s="374">
        <f>G83</f>
        <v>54000000</v>
      </c>
    </row>
    <row r="94" spans="1:7" ht="30" customHeight="1">
      <c r="A94" s="386" t="s">
        <v>1909</v>
      </c>
      <c r="B94" s="386"/>
      <c r="C94" s="410">
        <f t="shared" ref="C94" si="20">SUM(C87:C92)</f>
        <v>10</v>
      </c>
      <c r="D94" s="411"/>
      <c r="E94" s="411">
        <v>11</v>
      </c>
      <c r="F94" s="412"/>
      <c r="G94" s="354"/>
    </row>
    <row r="95" spans="1:7" ht="30" customHeight="1">
      <c r="A95" s="413" t="s">
        <v>1923</v>
      </c>
      <c r="B95" s="413"/>
      <c r="C95" s="414"/>
      <c r="D95" s="414"/>
      <c r="E95" s="414"/>
      <c r="F95" s="415"/>
      <c r="G95" s="416"/>
    </row>
    <row r="96" spans="1:7" ht="30" customHeight="1">
      <c r="A96" s="386" t="s">
        <v>1924</v>
      </c>
      <c r="B96" s="359"/>
      <c r="C96" s="360"/>
      <c r="D96" s="352"/>
      <c r="E96" s="352"/>
      <c r="F96" s="392"/>
      <c r="G96" s="354"/>
    </row>
    <row r="97" spans="1:7" ht="30" customHeight="1">
      <c r="A97" s="359" t="s">
        <v>108</v>
      </c>
      <c r="B97" s="359" t="s">
        <v>109</v>
      </c>
      <c r="C97" s="360">
        <v>1</v>
      </c>
      <c r="D97" s="352"/>
      <c r="E97" s="352">
        <f t="shared" ref="E97:E104" si="21">C97</f>
        <v>1</v>
      </c>
      <c r="F97" s="392">
        <v>10600000</v>
      </c>
      <c r="G97" s="354">
        <f t="shared" ref="G97:G115" si="22">(F97*12)</f>
        <v>127200000</v>
      </c>
    </row>
    <row r="98" spans="1:7" ht="30" customHeight="1">
      <c r="A98" s="359" t="s">
        <v>291</v>
      </c>
      <c r="B98" s="359" t="s">
        <v>59</v>
      </c>
      <c r="C98" s="360">
        <v>1</v>
      </c>
      <c r="D98" s="352"/>
      <c r="E98" s="352">
        <f t="shared" si="21"/>
        <v>1</v>
      </c>
      <c r="F98" s="399">
        <v>8500000</v>
      </c>
      <c r="G98" s="354">
        <f t="shared" si="22"/>
        <v>102000000</v>
      </c>
    </row>
    <row r="99" spans="1:7" ht="30" customHeight="1">
      <c r="A99" s="359" t="s">
        <v>320</v>
      </c>
      <c r="B99" s="359" t="s">
        <v>129</v>
      </c>
      <c r="C99" s="360">
        <v>3</v>
      </c>
      <c r="D99" s="352"/>
      <c r="E99" s="352">
        <f t="shared" si="21"/>
        <v>3</v>
      </c>
      <c r="F99" s="400">
        <v>7500000</v>
      </c>
      <c r="G99" s="354">
        <f t="shared" si="22"/>
        <v>90000000</v>
      </c>
    </row>
    <row r="100" spans="1:7" ht="30" customHeight="1">
      <c r="A100" s="440" t="s">
        <v>524</v>
      </c>
      <c r="B100" s="440" t="s">
        <v>123</v>
      </c>
      <c r="C100" s="441">
        <v>4</v>
      </c>
      <c r="D100" s="441">
        <v>1</v>
      </c>
      <c r="E100" s="441">
        <v>3</v>
      </c>
      <c r="F100" s="446">
        <v>6000000</v>
      </c>
      <c r="G100" s="443">
        <f t="shared" si="22"/>
        <v>72000000</v>
      </c>
    </row>
    <row r="101" spans="1:7" ht="30" customHeight="1">
      <c r="A101" s="359" t="s">
        <v>700</v>
      </c>
      <c r="B101" s="359" t="s">
        <v>1911</v>
      </c>
      <c r="C101" s="360">
        <v>1</v>
      </c>
      <c r="D101" s="352"/>
      <c r="E101" s="352">
        <f t="shared" si="21"/>
        <v>1</v>
      </c>
      <c r="F101" s="392">
        <v>5600000</v>
      </c>
      <c r="G101" s="354">
        <f t="shared" si="22"/>
        <v>67200000</v>
      </c>
    </row>
    <row r="102" spans="1:7" ht="30" customHeight="1">
      <c r="A102" s="358" t="s">
        <v>334</v>
      </c>
      <c r="B102" s="359" t="s">
        <v>1912</v>
      </c>
      <c r="C102" s="360">
        <v>3</v>
      </c>
      <c r="D102" s="352"/>
      <c r="E102" s="352">
        <f t="shared" si="21"/>
        <v>3</v>
      </c>
      <c r="F102" s="399">
        <v>3600000</v>
      </c>
      <c r="G102" s="354">
        <f t="shared" si="22"/>
        <v>43200000</v>
      </c>
    </row>
    <row r="103" spans="1:7" ht="30" customHeight="1">
      <c r="A103" s="359" t="s">
        <v>627</v>
      </c>
      <c r="B103" s="359" t="s">
        <v>1913</v>
      </c>
      <c r="C103" s="360">
        <v>2</v>
      </c>
      <c r="D103" s="352"/>
      <c r="E103" s="352">
        <f t="shared" si="21"/>
        <v>2</v>
      </c>
      <c r="F103" s="399">
        <v>2600000</v>
      </c>
      <c r="G103" s="354">
        <f t="shared" si="22"/>
        <v>31200000</v>
      </c>
    </row>
    <row r="104" spans="1:7" ht="30" customHeight="1">
      <c r="A104" s="356" t="s">
        <v>360</v>
      </c>
      <c r="B104" s="356" t="s">
        <v>1914</v>
      </c>
      <c r="C104" s="351">
        <v>1</v>
      </c>
      <c r="D104" s="351"/>
      <c r="E104" s="351">
        <f t="shared" si="21"/>
        <v>1</v>
      </c>
      <c r="F104" s="417">
        <v>4500000</v>
      </c>
      <c r="G104" s="354">
        <f t="shared" si="22"/>
        <v>54000000</v>
      </c>
    </row>
    <row r="105" spans="1:7" ht="30" customHeight="1">
      <c r="A105" s="363" t="str">
        <f>A93</f>
        <v>Research Assistant</v>
      </c>
      <c r="B105" s="363">
        <f>B93</f>
        <v>0</v>
      </c>
      <c r="C105" s="352">
        <f>C93</f>
        <v>0</v>
      </c>
      <c r="D105" s="352">
        <f>D93</f>
        <v>0</v>
      </c>
      <c r="E105" s="352">
        <v>1</v>
      </c>
      <c r="F105" s="393">
        <f>F93</f>
        <v>4500000</v>
      </c>
      <c r="G105" s="374">
        <f>G93</f>
        <v>54000000</v>
      </c>
    </row>
    <row r="106" spans="1:7" ht="30" customHeight="1">
      <c r="A106" s="386" t="s">
        <v>1909</v>
      </c>
      <c r="B106" s="359"/>
      <c r="C106" s="394">
        <f>SUM(C97:C104)</f>
        <v>16</v>
      </c>
      <c r="D106" s="366"/>
      <c r="E106" s="366">
        <f>SUM(E97:E105)</f>
        <v>16</v>
      </c>
      <c r="F106" s="395"/>
      <c r="G106" s="354"/>
    </row>
    <row r="107" spans="1:7" ht="30" customHeight="1">
      <c r="A107" s="381"/>
      <c r="B107" s="382"/>
      <c r="C107" s="397"/>
      <c r="D107" s="397"/>
      <c r="E107" s="397"/>
      <c r="F107" s="398"/>
      <c r="G107" s="379"/>
    </row>
    <row r="108" spans="1:7" ht="30" customHeight="1">
      <c r="A108" s="386" t="s">
        <v>1925</v>
      </c>
      <c r="B108" s="359"/>
      <c r="C108" s="360"/>
      <c r="D108" s="352"/>
      <c r="E108" s="352"/>
      <c r="F108" s="392"/>
      <c r="G108" s="354"/>
    </row>
    <row r="109" spans="1:7" ht="30" customHeight="1">
      <c r="A109" s="359" t="s">
        <v>108</v>
      </c>
      <c r="B109" s="359" t="s">
        <v>109</v>
      </c>
      <c r="C109" s="360">
        <v>1</v>
      </c>
      <c r="D109" s="352"/>
      <c r="E109" s="352">
        <f t="shared" ref="E109:E115" si="23">C109</f>
        <v>1</v>
      </c>
      <c r="F109" s="392">
        <v>10600000</v>
      </c>
      <c r="G109" s="354">
        <f t="shared" si="22"/>
        <v>127200000</v>
      </c>
    </row>
    <row r="110" spans="1:7" ht="30" customHeight="1">
      <c r="A110" s="359" t="s">
        <v>291</v>
      </c>
      <c r="B110" s="359" t="s">
        <v>59</v>
      </c>
      <c r="C110" s="360">
        <v>1</v>
      </c>
      <c r="D110" s="352"/>
      <c r="E110" s="352">
        <f t="shared" si="23"/>
        <v>1</v>
      </c>
      <c r="F110" s="399">
        <v>8500000</v>
      </c>
      <c r="G110" s="354">
        <f t="shared" si="22"/>
        <v>102000000</v>
      </c>
    </row>
    <row r="111" spans="1:7" ht="30" customHeight="1">
      <c r="A111" s="359" t="s">
        <v>320</v>
      </c>
      <c r="B111" s="359" t="s">
        <v>129</v>
      </c>
      <c r="C111" s="360">
        <v>2</v>
      </c>
      <c r="D111" s="352"/>
      <c r="E111" s="352">
        <f t="shared" si="23"/>
        <v>2</v>
      </c>
      <c r="F111" s="400">
        <v>7500000</v>
      </c>
      <c r="G111" s="354">
        <f t="shared" si="22"/>
        <v>90000000</v>
      </c>
    </row>
    <row r="112" spans="1:7" ht="30" customHeight="1">
      <c r="A112" s="359" t="s">
        <v>524</v>
      </c>
      <c r="B112" s="359" t="s">
        <v>123</v>
      </c>
      <c r="C112" s="360">
        <v>4</v>
      </c>
      <c r="D112" s="352"/>
      <c r="E112" s="352">
        <f t="shared" si="23"/>
        <v>4</v>
      </c>
      <c r="F112" s="399">
        <v>6000000</v>
      </c>
      <c r="G112" s="354">
        <f t="shared" si="22"/>
        <v>72000000</v>
      </c>
    </row>
    <row r="113" spans="1:7" ht="30" customHeight="1">
      <c r="A113" s="359" t="s">
        <v>333</v>
      </c>
      <c r="B113" s="359" t="s">
        <v>1914</v>
      </c>
      <c r="C113" s="360">
        <v>1</v>
      </c>
      <c r="D113" s="352"/>
      <c r="E113" s="352">
        <f t="shared" si="23"/>
        <v>1</v>
      </c>
      <c r="F113" s="399">
        <v>4500000</v>
      </c>
      <c r="G113" s="354">
        <f t="shared" si="22"/>
        <v>54000000</v>
      </c>
    </row>
    <row r="114" spans="1:7" ht="30" customHeight="1">
      <c r="A114" s="359" t="s">
        <v>621</v>
      </c>
      <c r="B114" s="359" t="s">
        <v>1912</v>
      </c>
      <c r="C114" s="360">
        <v>3</v>
      </c>
      <c r="D114" s="352"/>
      <c r="E114" s="352">
        <f t="shared" si="23"/>
        <v>3</v>
      </c>
      <c r="F114" s="399">
        <v>3600000</v>
      </c>
      <c r="G114" s="354">
        <f t="shared" si="22"/>
        <v>43200000</v>
      </c>
    </row>
    <row r="115" spans="1:7" ht="30" customHeight="1">
      <c r="A115" s="359" t="s">
        <v>627</v>
      </c>
      <c r="B115" s="359" t="s">
        <v>1913</v>
      </c>
      <c r="C115" s="360">
        <v>2</v>
      </c>
      <c r="D115" s="352"/>
      <c r="E115" s="352">
        <f t="shared" si="23"/>
        <v>2</v>
      </c>
      <c r="F115" s="399">
        <v>2600000</v>
      </c>
      <c r="G115" s="354">
        <f t="shared" si="22"/>
        <v>31200000</v>
      </c>
    </row>
    <row r="116" spans="1:7" ht="30" customHeight="1">
      <c r="A116" s="363" t="str">
        <f>A105</f>
        <v>Research Assistant</v>
      </c>
      <c r="B116" s="363">
        <f>B105</f>
        <v>0</v>
      </c>
      <c r="C116" s="352">
        <f>C105</f>
        <v>0</v>
      </c>
      <c r="D116" s="352">
        <f>D105</f>
        <v>0</v>
      </c>
      <c r="E116" s="352">
        <v>1</v>
      </c>
      <c r="F116" s="401">
        <f>F105</f>
        <v>4500000</v>
      </c>
      <c r="G116" s="374">
        <f>G105</f>
        <v>54000000</v>
      </c>
    </row>
    <row r="117" spans="1:7" ht="30" customHeight="1">
      <c r="A117" s="386" t="s">
        <v>1909</v>
      </c>
      <c r="B117" s="359"/>
      <c r="C117" s="394">
        <f>SUM(C109:C115)</f>
        <v>14</v>
      </c>
      <c r="D117" s="365"/>
      <c r="E117" s="365">
        <f>SUM(E109:E116)</f>
        <v>15</v>
      </c>
      <c r="F117" s="395"/>
      <c r="G117" s="354"/>
    </row>
    <row r="118" spans="1:7" ht="30" customHeight="1">
      <c r="A118" s="347" t="s">
        <v>1926</v>
      </c>
      <c r="B118" s="347"/>
      <c r="C118" s="403"/>
      <c r="D118" s="403"/>
      <c r="E118" s="403"/>
      <c r="F118" s="385"/>
      <c r="G118" s="349"/>
    </row>
    <row r="119" spans="1:7" ht="30" customHeight="1">
      <c r="A119" s="386" t="s">
        <v>818</v>
      </c>
      <c r="B119" s="359"/>
      <c r="C119" s="360"/>
      <c r="D119" s="352"/>
      <c r="E119" s="352"/>
      <c r="F119" s="392"/>
      <c r="G119" s="354"/>
    </row>
    <row r="120" spans="1:7" ht="30" customHeight="1">
      <c r="A120" s="359" t="s">
        <v>108</v>
      </c>
      <c r="B120" s="359" t="s">
        <v>109</v>
      </c>
      <c r="C120" s="360">
        <v>1</v>
      </c>
      <c r="D120" s="352"/>
      <c r="E120" s="352">
        <f t="shared" ref="E120:E132" si="24">C120</f>
        <v>1</v>
      </c>
      <c r="F120" s="392">
        <v>10600000</v>
      </c>
      <c r="G120" s="354">
        <f t="shared" ref="G120:G143" si="25">(F120*12)</f>
        <v>127200000</v>
      </c>
    </row>
    <row r="121" spans="1:7" ht="30" customHeight="1">
      <c r="A121" s="359" t="s">
        <v>291</v>
      </c>
      <c r="B121" s="359" t="s">
        <v>59</v>
      </c>
      <c r="C121" s="360">
        <v>1</v>
      </c>
      <c r="D121" s="352"/>
      <c r="E121" s="352">
        <f t="shared" si="24"/>
        <v>1</v>
      </c>
      <c r="F121" s="399">
        <v>8500000</v>
      </c>
      <c r="G121" s="354">
        <f t="shared" si="25"/>
        <v>102000000</v>
      </c>
    </row>
    <row r="122" spans="1:7" ht="30" customHeight="1">
      <c r="A122" s="358" t="s">
        <v>320</v>
      </c>
      <c r="B122" s="359" t="s">
        <v>129</v>
      </c>
      <c r="C122" s="360">
        <v>2</v>
      </c>
      <c r="D122" s="352"/>
      <c r="E122" s="352">
        <f t="shared" si="24"/>
        <v>2</v>
      </c>
      <c r="F122" s="400">
        <v>7500000</v>
      </c>
      <c r="G122" s="354">
        <f t="shared" si="25"/>
        <v>90000000</v>
      </c>
    </row>
    <row r="123" spans="1:7" ht="30" customHeight="1">
      <c r="A123" s="359" t="s">
        <v>700</v>
      </c>
      <c r="B123" s="359" t="s">
        <v>1911</v>
      </c>
      <c r="C123" s="360">
        <v>1</v>
      </c>
      <c r="D123" s="352"/>
      <c r="E123" s="352">
        <f t="shared" si="24"/>
        <v>1</v>
      </c>
      <c r="F123" s="392">
        <v>5600000</v>
      </c>
      <c r="G123" s="354">
        <f t="shared" si="25"/>
        <v>67200000</v>
      </c>
    </row>
    <row r="124" spans="1:7" ht="30" customHeight="1">
      <c r="A124" s="359" t="s">
        <v>824</v>
      </c>
      <c r="B124" s="359" t="s">
        <v>129</v>
      </c>
      <c r="C124" s="360">
        <v>1</v>
      </c>
      <c r="D124" s="352"/>
      <c r="E124" s="352">
        <f t="shared" si="24"/>
        <v>1</v>
      </c>
      <c r="F124" s="400">
        <v>7500000</v>
      </c>
      <c r="G124" s="354">
        <f t="shared" si="25"/>
        <v>90000000</v>
      </c>
    </row>
    <row r="125" spans="1:7" ht="30" customHeight="1">
      <c r="A125" s="359" t="s">
        <v>825</v>
      </c>
      <c r="B125" s="359" t="s">
        <v>129</v>
      </c>
      <c r="C125" s="360">
        <v>1</v>
      </c>
      <c r="D125" s="352"/>
      <c r="E125" s="352">
        <f t="shared" si="24"/>
        <v>1</v>
      </c>
      <c r="F125" s="400">
        <v>7500000</v>
      </c>
      <c r="G125" s="354">
        <f t="shared" si="25"/>
        <v>90000000</v>
      </c>
    </row>
    <row r="126" spans="1:7" ht="30" customHeight="1">
      <c r="A126" s="359" t="s">
        <v>524</v>
      </c>
      <c r="B126" s="359" t="s">
        <v>123</v>
      </c>
      <c r="C126" s="360">
        <v>3</v>
      </c>
      <c r="D126" s="352"/>
      <c r="E126" s="352">
        <f t="shared" si="24"/>
        <v>3</v>
      </c>
      <c r="F126" s="399">
        <v>6000000</v>
      </c>
      <c r="G126" s="354">
        <f t="shared" si="25"/>
        <v>72000000</v>
      </c>
    </row>
    <row r="127" spans="1:7" ht="30" customHeight="1">
      <c r="A127" s="359" t="s">
        <v>830</v>
      </c>
      <c r="B127" s="359" t="s">
        <v>123</v>
      </c>
      <c r="C127" s="360">
        <v>1</v>
      </c>
      <c r="D127" s="352"/>
      <c r="E127" s="352">
        <f t="shared" si="24"/>
        <v>1</v>
      </c>
      <c r="F127" s="399">
        <v>6000000</v>
      </c>
      <c r="G127" s="354">
        <f t="shared" si="25"/>
        <v>72000000</v>
      </c>
    </row>
    <row r="128" spans="1:7" ht="30" customHeight="1">
      <c r="A128" s="359" t="s">
        <v>333</v>
      </c>
      <c r="B128" s="359" t="s">
        <v>1914</v>
      </c>
      <c r="C128" s="360">
        <v>1</v>
      </c>
      <c r="D128" s="352"/>
      <c r="E128" s="352">
        <f t="shared" si="24"/>
        <v>1</v>
      </c>
      <c r="F128" s="399">
        <v>4500000</v>
      </c>
      <c r="G128" s="354">
        <f t="shared" si="25"/>
        <v>54000000</v>
      </c>
    </row>
    <row r="129" spans="1:7" ht="30" customHeight="1">
      <c r="A129" s="359" t="s">
        <v>334</v>
      </c>
      <c r="B129" s="359" t="s">
        <v>1912</v>
      </c>
      <c r="C129" s="360">
        <v>1</v>
      </c>
      <c r="D129" s="352"/>
      <c r="E129" s="352">
        <f t="shared" si="24"/>
        <v>1</v>
      </c>
      <c r="F129" s="399">
        <v>3600000</v>
      </c>
      <c r="G129" s="354">
        <f t="shared" si="25"/>
        <v>43200000</v>
      </c>
    </row>
    <row r="130" spans="1:7" ht="30" customHeight="1">
      <c r="A130" s="359" t="s">
        <v>627</v>
      </c>
      <c r="B130" s="359" t="s">
        <v>1913</v>
      </c>
      <c r="C130" s="360">
        <v>2</v>
      </c>
      <c r="D130" s="352"/>
      <c r="E130" s="352">
        <f t="shared" si="24"/>
        <v>2</v>
      </c>
      <c r="F130" s="399">
        <v>2600000</v>
      </c>
      <c r="G130" s="354">
        <f t="shared" si="25"/>
        <v>31200000</v>
      </c>
    </row>
    <row r="131" spans="1:7" ht="30" customHeight="1">
      <c r="A131" s="359" t="s">
        <v>835</v>
      </c>
      <c r="B131" s="359" t="s">
        <v>1913</v>
      </c>
      <c r="C131" s="360">
        <v>2</v>
      </c>
      <c r="D131" s="352"/>
      <c r="E131" s="352">
        <f t="shared" si="24"/>
        <v>2</v>
      </c>
      <c r="F131" s="399">
        <v>2600000</v>
      </c>
      <c r="G131" s="354">
        <f t="shared" si="25"/>
        <v>31200000</v>
      </c>
    </row>
    <row r="132" spans="1:7" ht="30" customHeight="1">
      <c r="A132" s="363" t="str">
        <f>A116</f>
        <v>Research Assistant</v>
      </c>
      <c r="B132" s="363">
        <f>B116</f>
        <v>0</v>
      </c>
      <c r="C132" s="352">
        <f>C116</f>
        <v>0</v>
      </c>
      <c r="D132" s="352">
        <f>D116</f>
        <v>0</v>
      </c>
      <c r="E132" s="352">
        <f t="shared" si="24"/>
        <v>0</v>
      </c>
      <c r="F132" s="401">
        <f>F116</f>
        <v>4500000</v>
      </c>
      <c r="G132" s="374">
        <f>G116</f>
        <v>54000000</v>
      </c>
    </row>
    <row r="133" spans="1:7" ht="30" customHeight="1">
      <c r="A133" s="386" t="s">
        <v>1909</v>
      </c>
      <c r="B133" s="359"/>
      <c r="C133" s="394">
        <f t="shared" ref="C133" si="26">SUM(C120:C131)</f>
        <v>17</v>
      </c>
      <c r="D133" s="366"/>
      <c r="E133" s="366">
        <v>18</v>
      </c>
      <c r="F133" s="395"/>
      <c r="G133" s="354"/>
    </row>
    <row r="134" spans="1:7" ht="30" customHeight="1">
      <c r="A134" s="382"/>
      <c r="B134" s="382"/>
      <c r="C134" s="370"/>
      <c r="D134" s="370"/>
      <c r="E134" s="370"/>
      <c r="F134" s="418"/>
      <c r="G134" s="372"/>
    </row>
    <row r="135" spans="1:7" ht="30" customHeight="1">
      <c r="A135" s="386" t="s">
        <v>845</v>
      </c>
      <c r="B135" s="386"/>
      <c r="C135" s="360"/>
      <c r="D135" s="352"/>
      <c r="E135" s="352"/>
      <c r="F135" s="419"/>
      <c r="G135" s="354"/>
    </row>
    <row r="136" spans="1:7" ht="30" customHeight="1">
      <c r="A136" s="359" t="s">
        <v>108</v>
      </c>
      <c r="B136" s="359" t="s">
        <v>109</v>
      </c>
      <c r="C136" s="360">
        <v>1</v>
      </c>
      <c r="D136" s="352"/>
      <c r="E136" s="352">
        <f t="shared" ref="E136:E143" si="27">C136</f>
        <v>1</v>
      </c>
      <c r="F136" s="392">
        <v>10600000</v>
      </c>
      <c r="G136" s="354">
        <f t="shared" si="25"/>
        <v>127200000</v>
      </c>
    </row>
    <row r="137" spans="1:7" ht="30" customHeight="1">
      <c r="A137" s="359" t="s">
        <v>291</v>
      </c>
      <c r="B137" s="359" t="s">
        <v>59</v>
      </c>
      <c r="C137" s="360">
        <v>2</v>
      </c>
      <c r="D137" s="352"/>
      <c r="E137" s="352">
        <f t="shared" si="27"/>
        <v>2</v>
      </c>
      <c r="F137" s="399">
        <v>8500000</v>
      </c>
      <c r="G137" s="354">
        <f t="shared" si="25"/>
        <v>102000000</v>
      </c>
    </row>
    <row r="138" spans="1:7" ht="30" customHeight="1">
      <c r="A138" s="359" t="s">
        <v>320</v>
      </c>
      <c r="B138" s="359" t="s">
        <v>129</v>
      </c>
      <c r="C138" s="360">
        <v>4</v>
      </c>
      <c r="D138" s="352"/>
      <c r="E138" s="352">
        <f t="shared" si="27"/>
        <v>4</v>
      </c>
      <c r="F138" s="400">
        <v>7500000</v>
      </c>
      <c r="G138" s="354">
        <f t="shared" si="25"/>
        <v>90000000</v>
      </c>
    </row>
    <row r="139" spans="1:7" ht="30" customHeight="1">
      <c r="A139" s="359" t="s">
        <v>524</v>
      </c>
      <c r="B139" s="359" t="s">
        <v>123</v>
      </c>
      <c r="C139" s="360">
        <v>3</v>
      </c>
      <c r="D139" s="352"/>
      <c r="E139" s="352">
        <f t="shared" si="27"/>
        <v>3</v>
      </c>
      <c r="F139" s="399">
        <v>6000000</v>
      </c>
      <c r="G139" s="354">
        <f t="shared" si="25"/>
        <v>72000000</v>
      </c>
    </row>
    <row r="140" spans="1:7" ht="30" customHeight="1">
      <c r="A140" s="359" t="s">
        <v>333</v>
      </c>
      <c r="B140" s="359" t="s">
        <v>1914</v>
      </c>
      <c r="C140" s="360">
        <v>1</v>
      </c>
      <c r="D140" s="352"/>
      <c r="E140" s="352">
        <f t="shared" si="27"/>
        <v>1</v>
      </c>
      <c r="F140" s="399">
        <v>4500000</v>
      </c>
      <c r="G140" s="354">
        <f t="shared" si="25"/>
        <v>54000000</v>
      </c>
    </row>
    <row r="141" spans="1:7" ht="30" customHeight="1">
      <c r="A141" s="359" t="s">
        <v>334</v>
      </c>
      <c r="B141" s="359" t="s">
        <v>1912</v>
      </c>
      <c r="C141" s="360">
        <v>2</v>
      </c>
      <c r="D141" s="352"/>
      <c r="E141" s="352">
        <f t="shared" si="27"/>
        <v>2</v>
      </c>
      <c r="F141" s="399">
        <v>3600000</v>
      </c>
      <c r="G141" s="354">
        <f t="shared" si="25"/>
        <v>43200000</v>
      </c>
    </row>
    <row r="142" spans="1:7" ht="30" customHeight="1">
      <c r="A142" s="359" t="s">
        <v>1927</v>
      </c>
      <c r="B142" s="359" t="s">
        <v>1913</v>
      </c>
      <c r="C142" s="360">
        <v>4</v>
      </c>
      <c r="D142" s="352"/>
      <c r="E142" s="352">
        <f t="shared" si="27"/>
        <v>4</v>
      </c>
      <c r="F142" s="399">
        <v>2600000</v>
      </c>
      <c r="G142" s="354">
        <f t="shared" si="25"/>
        <v>31200000</v>
      </c>
    </row>
    <row r="143" spans="1:7" ht="30" customHeight="1">
      <c r="A143" s="359" t="s">
        <v>1928</v>
      </c>
      <c r="B143" s="359" t="s">
        <v>1913</v>
      </c>
      <c r="C143" s="360">
        <v>1</v>
      </c>
      <c r="D143" s="352"/>
      <c r="E143" s="352">
        <f t="shared" si="27"/>
        <v>1</v>
      </c>
      <c r="F143" s="399">
        <v>2600000</v>
      </c>
      <c r="G143" s="354">
        <f t="shared" si="25"/>
        <v>31200000</v>
      </c>
    </row>
    <row r="144" spans="1:7" ht="30" customHeight="1">
      <c r="A144" s="363" t="str">
        <f t="shared" ref="A144:G144" si="28">A132</f>
        <v>Research Assistant</v>
      </c>
      <c r="B144" s="363">
        <f t="shared" si="28"/>
        <v>0</v>
      </c>
      <c r="C144" s="352">
        <f t="shared" si="28"/>
        <v>0</v>
      </c>
      <c r="D144" s="352">
        <f t="shared" si="28"/>
        <v>0</v>
      </c>
      <c r="E144" s="352">
        <f t="shared" si="28"/>
        <v>0</v>
      </c>
      <c r="F144" s="401">
        <f t="shared" si="28"/>
        <v>4500000</v>
      </c>
      <c r="G144" s="374">
        <f t="shared" si="28"/>
        <v>54000000</v>
      </c>
    </row>
    <row r="145" spans="1:7" ht="30" customHeight="1">
      <c r="A145" s="386" t="s">
        <v>1909</v>
      </c>
      <c r="B145" s="359"/>
      <c r="C145" s="394">
        <f t="shared" ref="C145" si="29">SUM(C136:C143)</f>
        <v>18</v>
      </c>
      <c r="D145" s="366"/>
      <c r="E145" s="366">
        <v>19</v>
      </c>
      <c r="F145" s="395"/>
      <c r="G145" s="354"/>
    </row>
    <row r="146" spans="1:7" ht="30" customHeight="1">
      <c r="A146" s="347" t="s">
        <v>1929</v>
      </c>
      <c r="B146" s="347"/>
      <c r="C146" s="384"/>
      <c r="D146" s="384"/>
      <c r="E146" s="384">
        <f t="shared" ref="E146:E175" si="30">C146</f>
        <v>0</v>
      </c>
      <c r="F146" s="385"/>
      <c r="G146" s="349"/>
    </row>
    <row r="147" spans="1:7" ht="30" customHeight="1">
      <c r="A147" s="386" t="s">
        <v>1930</v>
      </c>
      <c r="B147" s="359"/>
      <c r="C147" s="360"/>
      <c r="D147" s="352"/>
      <c r="E147" s="352">
        <f t="shared" si="30"/>
        <v>0</v>
      </c>
      <c r="F147" s="420"/>
      <c r="G147" s="354"/>
    </row>
    <row r="148" spans="1:7" ht="30" customHeight="1">
      <c r="A148" s="358" t="s">
        <v>108</v>
      </c>
      <c r="B148" s="359" t="s">
        <v>109</v>
      </c>
      <c r="C148" s="360">
        <v>2</v>
      </c>
      <c r="D148" s="352"/>
      <c r="E148" s="352">
        <f t="shared" si="30"/>
        <v>2</v>
      </c>
      <c r="F148" s="421">
        <v>10600000</v>
      </c>
      <c r="G148" s="354">
        <f t="shared" ref="G148:G175" si="31">(F148*12)</f>
        <v>127200000</v>
      </c>
    </row>
    <row r="149" spans="1:7" ht="30" customHeight="1">
      <c r="A149" s="358" t="s">
        <v>291</v>
      </c>
      <c r="B149" s="359" t="s">
        <v>59</v>
      </c>
      <c r="C149" s="360">
        <v>3</v>
      </c>
      <c r="D149" s="352"/>
      <c r="E149" s="352">
        <f t="shared" si="30"/>
        <v>3</v>
      </c>
      <c r="F149" s="399">
        <v>8500000</v>
      </c>
      <c r="G149" s="354">
        <f t="shared" si="31"/>
        <v>102000000</v>
      </c>
    </row>
    <row r="150" spans="1:7" ht="30" customHeight="1">
      <c r="A150" s="358" t="s">
        <v>320</v>
      </c>
      <c r="B150" s="359" t="s">
        <v>129</v>
      </c>
      <c r="C150" s="360">
        <v>6</v>
      </c>
      <c r="D150" s="352"/>
      <c r="E150" s="352">
        <f t="shared" si="30"/>
        <v>6</v>
      </c>
      <c r="F150" s="400">
        <v>7500000</v>
      </c>
      <c r="G150" s="354">
        <f t="shared" si="31"/>
        <v>90000000</v>
      </c>
    </row>
    <row r="151" spans="1:7" ht="30" customHeight="1">
      <c r="A151" s="439" t="s">
        <v>524</v>
      </c>
      <c r="B151" s="440" t="s">
        <v>123</v>
      </c>
      <c r="C151" s="441">
        <v>6</v>
      </c>
      <c r="D151" s="441">
        <v>1</v>
      </c>
      <c r="E151" s="441">
        <v>5</v>
      </c>
      <c r="F151" s="446">
        <v>6000000</v>
      </c>
      <c r="G151" s="443">
        <f t="shared" si="31"/>
        <v>72000000</v>
      </c>
    </row>
    <row r="152" spans="1:7" ht="30" customHeight="1">
      <c r="A152" s="359" t="s">
        <v>700</v>
      </c>
      <c r="B152" s="359" t="s">
        <v>1911</v>
      </c>
      <c r="C152" s="360">
        <v>1</v>
      </c>
      <c r="D152" s="352"/>
      <c r="E152" s="352">
        <f t="shared" si="30"/>
        <v>1</v>
      </c>
      <c r="F152" s="422">
        <v>5600000</v>
      </c>
      <c r="G152" s="354">
        <f t="shared" si="31"/>
        <v>67200000</v>
      </c>
    </row>
    <row r="153" spans="1:7" ht="30" customHeight="1">
      <c r="A153" s="358" t="s">
        <v>333</v>
      </c>
      <c r="B153" s="359" t="s">
        <v>1914</v>
      </c>
      <c r="C153" s="360">
        <v>3</v>
      </c>
      <c r="D153" s="352"/>
      <c r="E153" s="352">
        <f t="shared" si="30"/>
        <v>3</v>
      </c>
      <c r="F153" s="399">
        <v>4500000</v>
      </c>
      <c r="G153" s="354">
        <f t="shared" si="31"/>
        <v>54000000</v>
      </c>
    </row>
    <row r="154" spans="1:7" ht="30" customHeight="1">
      <c r="A154" s="358" t="s">
        <v>621</v>
      </c>
      <c r="B154" s="359" t="s">
        <v>1912</v>
      </c>
      <c r="C154" s="360">
        <v>4</v>
      </c>
      <c r="D154" s="352"/>
      <c r="E154" s="352">
        <f t="shared" si="30"/>
        <v>4</v>
      </c>
      <c r="F154" s="399">
        <v>3600000</v>
      </c>
      <c r="G154" s="354">
        <f t="shared" si="31"/>
        <v>43200000</v>
      </c>
    </row>
    <row r="155" spans="1:7" ht="30" customHeight="1">
      <c r="A155" s="358" t="s">
        <v>627</v>
      </c>
      <c r="B155" s="359" t="s">
        <v>1913</v>
      </c>
      <c r="C155" s="360">
        <v>4</v>
      </c>
      <c r="D155" s="352"/>
      <c r="E155" s="352">
        <f t="shared" si="30"/>
        <v>4</v>
      </c>
      <c r="F155" s="399">
        <v>2600000</v>
      </c>
      <c r="G155" s="354">
        <f t="shared" si="31"/>
        <v>31200000</v>
      </c>
    </row>
    <row r="156" spans="1:7" ht="30" customHeight="1">
      <c r="A156" s="362" t="str">
        <f>A144</f>
        <v>Research Assistant</v>
      </c>
      <c r="B156" s="363">
        <f>B144</f>
        <v>0</v>
      </c>
      <c r="C156" s="352">
        <f>C144</f>
        <v>0</v>
      </c>
      <c r="D156" s="352">
        <f>D144</f>
        <v>0</v>
      </c>
      <c r="E156" s="352">
        <v>1</v>
      </c>
      <c r="F156" s="401">
        <f>F144</f>
        <v>4500000</v>
      </c>
      <c r="G156" s="374">
        <f>G144</f>
        <v>54000000</v>
      </c>
    </row>
    <row r="157" spans="1:7" ht="30" customHeight="1">
      <c r="A157" s="386" t="s">
        <v>1909</v>
      </c>
      <c r="B157" s="386"/>
      <c r="C157" s="394">
        <f t="shared" ref="C157" si="32">SUM(C148:C155)</f>
        <v>29</v>
      </c>
      <c r="D157" s="366"/>
      <c r="E157" s="366">
        <v>29</v>
      </c>
      <c r="F157" s="395"/>
      <c r="G157" s="354"/>
    </row>
    <row r="158" spans="1:7" ht="30" customHeight="1">
      <c r="A158" s="381"/>
      <c r="B158" s="381"/>
      <c r="C158" s="423"/>
      <c r="D158" s="423"/>
      <c r="E158" s="423">
        <f t="shared" si="30"/>
        <v>0</v>
      </c>
      <c r="F158" s="424"/>
      <c r="G158" s="372"/>
    </row>
    <row r="159" spans="1:7" ht="30" customHeight="1">
      <c r="A159" s="386" t="s">
        <v>968</v>
      </c>
      <c r="B159" s="359"/>
      <c r="C159" s="360"/>
      <c r="D159" s="352"/>
      <c r="E159" s="352">
        <f t="shared" si="30"/>
        <v>0</v>
      </c>
      <c r="F159" s="425"/>
      <c r="G159" s="354"/>
    </row>
    <row r="160" spans="1:7" ht="30" customHeight="1">
      <c r="A160" s="358" t="s">
        <v>108</v>
      </c>
      <c r="B160" s="359" t="s">
        <v>109</v>
      </c>
      <c r="C160" s="360">
        <v>1</v>
      </c>
      <c r="D160" s="352"/>
      <c r="E160" s="352">
        <f t="shared" si="30"/>
        <v>1</v>
      </c>
      <c r="F160" s="422">
        <v>10600000</v>
      </c>
      <c r="G160" s="354">
        <f t="shared" si="31"/>
        <v>127200000</v>
      </c>
    </row>
    <row r="161" spans="1:7" ht="30" customHeight="1">
      <c r="A161" s="358" t="s">
        <v>291</v>
      </c>
      <c r="B161" s="359" t="s">
        <v>59</v>
      </c>
      <c r="C161" s="360">
        <v>1</v>
      </c>
      <c r="D161" s="352"/>
      <c r="E161" s="352">
        <f t="shared" si="30"/>
        <v>1</v>
      </c>
      <c r="F161" s="399">
        <v>8500000</v>
      </c>
      <c r="G161" s="354">
        <f t="shared" si="31"/>
        <v>102000000</v>
      </c>
    </row>
    <row r="162" spans="1:7" ht="30" customHeight="1">
      <c r="A162" s="358" t="s">
        <v>320</v>
      </c>
      <c r="B162" s="359" t="s">
        <v>129</v>
      </c>
      <c r="C162" s="360">
        <v>3</v>
      </c>
      <c r="D162" s="352"/>
      <c r="E162" s="352">
        <f t="shared" si="30"/>
        <v>3</v>
      </c>
      <c r="F162" s="400">
        <v>7500000</v>
      </c>
      <c r="G162" s="354">
        <f t="shared" si="31"/>
        <v>90000000</v>
      </c>
    </row>
    <row r="163" spans="1:7" ht="30" customHeight="1">
      <c r="A163" s="439" t="s">
        <v>524</v>
      </c>
      <c r="B163" s="440" t="s">
        <v>123</v>
      </c>
      <c r="C163" s="441">
        <v>4</v>
      </c>
      <c r="D163" s="441">
        <v>1</v>
      </c>
      <c r="E163" s="441">
        <v>3</v>
      </c>
      <c r="F163" s="446">
        <v>6000000</v>
      </c>
      <c r="G163" s="443">
        <f t="shared" si="31"/>
        <v>72000000</v>
      </c>
    </row>
    <row r="164" spans="1:7" ht="30" customHeight="1">
      <c r="A164" s="358" t="s">
        <v>621</v>
      </c>
      <c r="B164" s="359" t="s">
        <v>1912</v>
      </c>
      <c r="C164" s="360">
        <v>2</v>
      </c>
      <c r="D164" s="352"/>
      <c r="E164" s="352">
        <f t="shared" si="30"/>
        <v>2</v>
      </c>
      <c r="F164" s="399">
        <v>3600000</v>
      </c>
      <c r="G164" s="354">
        <f t="shared" si="31"/>
        <v>43200000</v>
      </c>
    </row>
    <row r="165" spans="1:7" ht="30" customHeight="1">
      <c r="A165" s="358" t="s">
        <v>627</v>
      </c>
      <c r="B165" s="359" t="s">
        <v>1913</v>
      </c>
      <c r="C165" s="360">
        <v>2</v>
      </c>
      <c r="D165" s="352"/>
      <c r="E165" s="352">
        <f t="shared" si="30"/>
        <v>2</v>
      </c>
      <c r="F165" s="399">
        <v>2600000</v>
      </c>
      <c r="G165" s="354">
        <f t="shared" si="31"/>
        <v>31200000</v>
      </c>
    </row>
    <row r="166" spans="1:7" ht="30" customHeight="1">
      <c r="A166" s="386" t="s">
        <v>1909</v>
      </c>
      <c r="B166" s="386"/>
      <c r="C166" s="394">
        <f>SUM(C160:C165)</f>
        <v>13</v>
      </c>
      <c r="D166" s="366"/>
      <c r="E166" s="366">
        <v>12</v>
      </c>
      <c r="F166" s="395"/>
      <c r="G166" s="354"/>
    </row>
    <row r="167" spans="1:7" ht="30" customHeight="1">
      <c r="A167" s="381"/>
      <c r="B167" s="382"/>
      <c r="C167" s="370"/>
      <c r="D167" s="370"/>
      <c r="E167" s="370">
        <f t="shared" si="30"/>
        <v>0</v>
      </c>
      <c r="F167" s="426"/>
      <c r="G167" s="372"/>
    </row>
    <row r="168" spans="1:7" ht="30" customHeight="1">
      <c r="A168" s="350" t="s">
        <v>977</v>
      </c>
      <c r="B168" s="356"/>
      <c r="C168" s="351"/>
      <c r="D168" s="351"/>
      <c r="E168" s="351">
        <f t="shared" si="30"/>
        <v>0</v>
      </c>
      <c r="F168" s="400"/>
      <c r="G168" s="354"/>
    </row>
    <row r="169" spans="1:7" ht="30" customHeight="1">
      <c r="A169" s="355" t="s">
        <v>108</v>
      </c>
      <c r="B169" s="356" t="s">
        <v>109</v>
      </c>
      <c r="C169" s="351">
        <v>1</v>
      </c>
      <c r="D169" s="351"/>
      <c r="E169" s="351">
        <f t="shared" si="30"/>
        <v>1</v>
      </c>
      <c r="F169" s="427">
        <v>10600000</v>
      </c>
      <c r="G169" s="354">
        <f t="shared" si="31"/>
        <v>127200000</v>
      </c>
    </row>
    <row r="170" spans="1:7" ht="30" customHeight="1">
      <c r="A170" s="355" t="s">
        <v>291</v>
      </c>
      <c r="B170" s="356" t="s">
        <v>59</v>
      </c>
      <c r="C170" s="351">
        <v>2</v>
      </c>
      <c r="D170" s="351"/>
      <c r="E170" s="351">
        <f t="shared" si="30"/>
        <v>2</v>
      </c>
      <c r="F170" s="399">
        <v>8500000</v>
      </c>
      <c r="G170" s="354">
        <f t="shared" si="31"/>
        <v>102000000</v>
      </c>
    </row>
    <row r="171" spans="1:7" ht="30" customHeight="1">
      <c r="A171" s="355" t="s">
        <v>320</v>
      </c>
      <c r="B171" s="356" t="s">
        <v>129</v>
      </c>
      <c r="C171" s="351">
        <v>2</v>
      </c>
      <c r="D171" s="351"/>
      <c r="E171" s="351">
        <f t="shared" si="30"/>
        <v>2</v>
      </c>
      <c r="F171" s="400">
        <v>7500000</v>
      </c>
      <c r="G171" s="354">
        <f t="shared" si="31"/>
        <v>90000000</v>
      </c>
    </row>
    <row r="172" spans="1:7" ht="30" customHeight="1">
      <c r="A172" s="355" t="s">
        <v>524</v>
      </c>
      <c r="B172" s="356" t="s">
        <v>123</v>
      </c>
      <c r="C172" s="351">
        <v>4</v>
      </c>
      <c r="D172" s="351"/>
      <c r="E172" s="351">
        <f t="shared" si="30"/>
        <v>4</v>
      </c>
      <c r="F172" s="399">
        <v>6000000</v>
      </c>
      <c r="G172" s="354">
        <f t="shared" si="31"/>
        <v>72000000</v>
      </c>
    </row>
    <row r="173" spans="1:7" ht="30" customHeight="1">
      <c r="A173" s="356" t="s">
        <v>360</v>
      </c>
      <c r="B173" s="356" t="s">
        <v>67</v>
      </c>
      <c r="C173" s="351">
        <v>1</v>
      </c>
      <c r="D173" s="351"/>
      <c r="E173" s="351">
        <f t="shared" si="30"/>
        <v>1</v>
      </c>
      <c r="F173" s="399">
        <v>4500000</v>
      </c>
      <c r="G173" s="354">
        <f t="shared" si="31"/>
        <v>54000000</v>
      </c>
    </row>
    <row r="174" spans="1:7" ht="30" customHeight="1">
      <c r="A174" s="355" t="s">
        <v>621</v>
      </c>
      <c r="B174" s="356" t="s">
        <v>279</v>
      </c>
      <c r="C174" s="351">
        <v>2</v>
      </c>
      <c r="D174" s="351"/>
      <c r="E174" s="351">
        <f t="shared" si="30"/>
        <v>2</v>
      </c>
      <c r="F174" s="399">
        <v>3600000</v>
      </c>
      <c r="G174" s="354">
        <f t="shared" si="31"/>
        <v>43200000</v>
      </c>
    </row>
    <row r="175" spans="1:7" ht="30" customHeight="1">
      <c r="A175" s="355" t="s">
        <v>627</v>
      </c>
      <c r="B175" s="356" t="s">
        <v>287</v>
      </c>
      <c r="C175" s="351">
        <v>4</v>
      </c>
      <c r="D175" s="351"/>
      <c r="E175" s="351">
        <f t="shared" si="30"/>
        <v>4</v>
      </c>
      <c r="F175" s="399">
        <v>2600000</v>
      </c>
      <c r="G175" s="354">
        <f t="shared" si="31"/>
        <v>31200000</v>
      </c>
    </row>
    <row r="176" spans="1:7" ht="30" customHeight="1">
      <c r="A176" s="362" t="str">
        <f t="shared" ref="A176:G176" si="33">A156</f>
        <v>Research Assistant</v>
      </c>
      <c r="B176" s="363">
        <f t="shared" si="33"/>
        <v>0</v>
      </c>
      <c r="C176" s="352">
        <f t="shared" si="33"/>
        <v>0</v>
      </c>
      <c r="D176" s="352">
        <f t="shared" si="33"/>
        <v>0</v>
      </c>
      <c r="E176" s="352">
        <f t="shared" si="33"/>
        <v>1</v>
      </c>
      <c r="F176" s="401">
        <f t="shared" si="33"/>
        <v>4500000</v>
      </c>
      <c r="G176" s="374">
        <f t="shared" si="33"/>
        <v>54000000</v>
      </c>
    </row>
    <row r="177" spans="1:7" ht="30" customHeight="1">
      <c r="A177" s="350" t="s">
        <v>1909</v>
      </c>
      <c r="B177" s="350"/>
      <c r="C177" s="365">
        <f t="shared" ref="C177" si="34">SUM(C169:C175)</f>
        <v>16</v>
      </c>
      <c r="D177" s="365"/>
      <c r="E177" s="365">
        <v>17</v>
      </c>
      <c r="F177" s="367"/>
      <c r="G177" s="354"/>
    </row>
    <row r="178" spans="1:7" ht="30" customHeight="1">
      <c r="A178" s="347" t="s">
        <v>1931</v>
      </c>
      <c r="B178" s="347"/>
      <c r="C178" s="384"/>
      <c r="D178" s="384"/>
      <c r="E178" s="384"/>
      <c r="F178" s="428"/>
      <c r="G178" s="349"/>
    </row>
    <row r="179" spans="1:7" ht="30" customHeight="1">
      <c r="A179" s="386" t="s">
        <v>1046</v>
      </c>
      <c r="B179" s="386"/>
      <c r="C179" s="388"/>
      <c r="D179" s="389"/>
      <c r="E179" s="389">
        <f t="shared" ref="E179:E206" si="35">C179</f>
        <v>0</v>
      </c>
      <c r="F179" s="429"/>
      <c r="G179" s="354"/>
    </row>
    <row r="180" spans="1:7" ht="30" customHeight="1">
      <c r="A180" s="359" t="s">
        <v>1932</v>
      </c>
      <c r="B180" s="359" t="s">
        <v>427</v>
      </c>
      <c r="C180" s="360">
        <v>1</v>
      </c>
      <c r="D180" s="352"/>
      <c r="E180" s="352">
        <f t="shared" si="35"/>
        <v>1</v>
      </c>
      <c r="F180" s="420">
        <v>10600000</v>
      </c>
      <c r="G180" s="354">
        <f t="shared" ref="G180:G206" si="36">(F180*12)</f>
        <v>127200000</v>
      </c>
    </row>
    <row r="181" spans="1:7" ht="30" customHeight="1">
      <c r="A181" s="359" t="s">
        <v>291</v>
      </c>
      <c r="B181" s="359" t="s">
        <v>59</v>
      </c>
      <c r="C181" s="360">
        <v>1</v>
      </c>
      <c r="D181" s="352"/>
      <c r="E181" s="352">
        <f t="shared" si="35"/>
        <v>1</v>
      </c>
      <c r="F181" s="391">
        <v>8500000</v>
      </c>
      <c r="G181" s="354">
        <f t="shared" si="36"/>
        <v>102000000</v>
      </c>
    </row>
    <row r="182" spans="1:7" ht="30" customHeight="1">
      <c r="A182" s="359" t="s">
        <v>320</v>
      </c>
      <c r="B182" s="359" t="s">
        <v>129</v>
      </c>
      <c r="C182" s="360">
        <v>2</v>
      </c>
      <c r="D182" s="352"/>
      <c r="E182" s="352">
        <f t="shared" si="35"/>
        <v>2</v>
      </c>
      <c r="F182" s="420">
        <v>7500000</v>
      </c>
      <c r="G182" s="354">
        <f t="shared" si="36"/>
        <v>90000000</v>
      </c>
    </row>
    <row r="183" spans="1:7" ht="30" customHeight="1">
      <c r="A183" s="359" t="s">
        <v>524</v>
      </c>
      <c r="B183" s="359" t="s">
        <v>123</v>
      </c>
      <c r="C183" s="360">
        <v>4</v>
      </c>
      <c r="D183" s="352"/>
      <c r="E183" s="352">
        <f t="shared" si="35"/>
        <v>4</v>
      </c>
      <c r="F183" s="391">
        <v>6000000</v>
      </c>
      <c r="G183" s="354">
        <f t="shared" si="36"/>
        <v>72000000</v>
      </c>
    </row>
    <row r="184" spans="1:7" ht="30" customHeight="1">
      <c r="A184" s="359" t="s">
        <v>333</v>
      </c>
      <c r="B184" s="359" t="s">
        <v>67</v>
      </c>
      <c r="C184" s="360">
        <v>1</v>
      </c>
      <c r="D184" s="352"/>
      <c r="E184" s="352">
        <f t="shared" si="35"/>
        <v>1</v>
      </c>
      <c r="F184" s="391">
        <v>4500000</v>
      </c>
      <c r="G184" s="354">
        <f t="shared" si="36"/>
        <v>54000000</v>
      </c>
    </row>
    <row r="185" spans="1:7" ht="30" customHeight="1">
      <c r="A185" s="359" t="s">
        <v>621</v>
      </c>
      <c r="B185" s="359" t="s">
        <v>279</v>
      </c>
      <c r="C185" s="360">
        <v>1</v>
      </c>
      <c r="D185" s="352"/>
      <c r="E185" s="352">
        <f t="shared" si="35"/>
        <v>1</v>
      </c>
      <c r="F185" s="391">
        <v>3600000</v>
      </c>
      <c r="G185" s="354">
        <f t="shared" si="36"/>
        <v>43200000</v>
      </c>
    </row>
    <row r="186" spans="1:7" ht="30" customHeight="1">
      <c r="A186" s="359" t="s">
        <v>627</v>
      </c>
      <c r="B186" s="359" t="s">
        <v>287</v>
      </c>
      <c r="C186" s="360">
        <v>3</v>
      </c>
      <c r="D186" s="352"/>
      <c r="E186" s="352">
        <f t="shared" si="35"/>
        <v>3</v>
      </c>
      <c r="F186" s="391">
        <v>2600000</v>
      </c>
      <c r="G186" s="354">
        <f t="shared" si="36"/>
        <v>31200000</v>
      </c>
    </row>
    <row r="187" spans="1:7" ht="30" customHeight="1">
      <c r="A187" s="363" t="str">
        <f t="shared" ref="A187:G187" si="37">A156</f>
        <v>Research Assistant</v>
      </c>
      <c r="B187" s="363">
        <f t="shared" si="37"/>
        <v>0</v>
      </c>
      <c r="C187" s="352">
        <f t="shared" si="37"/>
        <v>0</v>
      </c>
      <c r="D187" s="352">
        <f t="shared" si="37"/>
        <v>0</v>
      </c>
      <c r="E187" s="352">
        <f t="shared" si="37"/>
        <v>1</v>
      </c>
      <c r="F187" s="401">
        <f t="shared" si="37"/>
        <v>4500000</v>
      </c>
      <c r="G187" s="374">
        <f t="shared" si="37"/>
        <v>54000000</v>
      </c>
    </row>
    <row r="188" spans="1:7" ht="30" customHeight="1">
      <c r="A188" s="386" t="s">
        <v>1909</v>
      </c>
      <c r="B188" s="386"/>
      <c r="C188" s="394">
        <f t="shared" ref="C188" si="38">SUM(C180:C186)</f>
        <v>13</v>
      </c>
      <c r="D188" s="366"/>
      <c r="E188" s="366">
        <v>14</v>
      </c>
      <c r="F188" s="395"/>
      <c r="G188" s="354"/>
    </row>
    <row r="189" spans="1:7" ht="30" customHeight="1">
      <c r="A189" s="381"/>
      <c r="B189" s="382"/>
      <c r="C189" s="370"/>
      <c r="D189" s="352"/>
      <c r="E189" s="352"/>
      <c r="F189" s="426"/>
      <c r="G189" s="354"/>
    </row>
    <row r="190" spans="1:7" ht="30" customHeight="1">
      <c r="A190" s="386" t="s">
        <v>1933</v>
      </c>
      <c r="B190" s="359"/>
      <c r="C190" s="360"/>
      <c r="D190" s="352"/>
      <c r="E190" s="352"/>
      <c r="F190" s="420"/>
      <c r="G190" s="354"/>
    </row>
    <row r="191" spans="1:7" ht="30" customHeight="1">
      <c r="A191" s="356" t="s">
        <v>1932</v>
      </c>
      <c r="B191" s="356" t="s">
        <v>427</v>
      </c>
      <c r="C191" s="351">
        <v>1</v>
      </c>
      <c r="D191" s="352"/>
      <c r="E191" s="352">
        <f t="shared" si="35"/>
        <v>1</v>
      </c>
      <c r="F191" s="400">
        <v>10600000</v>
      </c>
      <c r="G191" s="354">
        <f t="shared" si="36"/>
        <v>127200000</v>
      </c>
    </row>
    <row r="192" spans="1:7" ht="30" customHeight="1">
      <c r="A192" s="356" t="s">
        <v>291</v>
      </c>
      <c r="B192" s="356" t="s">
        <v>59</v>
      </c>
      <c r="C192" s="351">
        <v>1</v>
      </c>
      <c r="D192" s="352"/>
      <c r="E192" s="352">
        <f t="shared" si="35"/>
        <v>1</v>
      </c>
      <c r="F192" s="399">
        <v>8500000</v>
      </c>
      <c r="G192" s="354">
        <f t="shared" si="36"/>
        <v>102000000</v>
      </c>
    </row>
    <row r="193" spans="1:7" ht="30" customHeight="1">
      <c r="A193" s="356" t="s">
        <v>320</v>
      </c>
      <c r="B193" s="356" t="s">
        <v>129</v>
      </c>
      <c r="C193" s="351">
        <v>3</v>
      </c>
      <c r="D193" s="352"/>
      <c r="E193" s="352">
        <f t="shared" si="35"/>
        <v>3</v>
      </c>
      <c r="F193" s="400">
        <v>7500000</v>
      </c>
      <c r="G193" s="354">
        <f t="shared" si="36"/>
        <v>90000000</v>
      </c>
    </row>
    <row r="194" spans="1:7" ht="30" customHeight="1">
      <c r="A194" s="356" t="s">
        <v>360</v>
      </c>
      <c r="B194" s="356" t="s">
        <v>1934</v>
      </c>
      <c r="C194" s="351">
        <v>1</v>
      </c>
      <c r="D194" s="352"/>
      <c r="E194" s="352">
        <f t="shared" si="35"/>
        <v>1</v>
      </c>
      <c r="F194" s="400">
        <v>3500000</v>
      </c>
      <c r="G194" s="354">
        <f t="shared" si="36"/>
        <v>42000000</v>
      </c>
    </row>
    <row r="195" spans="1:7" ht="30" customHeight="1">
      <c r="A195" s="440" t="s">
        <v>524</v>
      </c>
      <c r="B195" s="440" t="s">
        <v>123</v>
      </c>
      <c r="C195" s="441">
        <v>4</v>
      </c>
      <c r="D195" s="441">
        <v>1</v>
      </c>
      <c r="E195" s="441">
        <v>3</v>
      </c>
      <c r="F195" s="446">
        <v>6000000</v>
      </c>
      <c r="G195" s="443">
        <f t="shared" si="36"/>
        <v>72000000</v>
      </c>
    </row>
    <row r="196" spans="1:7" ht="30" customHeight="1">
      <c r="A196" s="356" t="s">
        <v>621</v>
      </c>
      <c r="B196" s="356" t="s">
        <v>279</v>
      </c>
      <c r="C196" s="351">
        <v>1</v>
      </c>
      <c r="D196" s="352"/>
      <c r="E196" s="352">
        <f t="shared" si="35"/>
        <v>1</v>
      </c>
      <c r="F196" s="399">
        <v>3600000</v>
      </c>
      <c r="G196" s="354">
        <f t="shared" si="36"/>
        <v>43200000</v>
      </c>
    </row>
    <row r="197" spans="1:7" ht="30" customHeight="1">
      <c r="A197" s="356" t="s">
        <v>1927</v>
      </c>
      <c r="B197" s="356" t="s">
        <v>287</v>
      </c>
      <c r="C197" s="351">
        <v>3</v>
      </c>
      <c r="D197" s="352"/>
      <c r="E197" s="352">
        <f t="shared" si="35"/>
        <v>3</v>
      </c>
      <c r="F197" s="399">
        <v>2600000</v>
      </c>
      <c r="G197" s="354">
        <f t="shared" si="36"/>
        <v>31200000</v>
      </c>
    </row>
    <row r="198" spans="1:7" ht="30" customHeight="1">
      <c r="A198" s="363" t="str">
        <f t="shared" ref="A198:G198" si="39">A187</f>
        <v>Research Assistant</v>
      </c>
      <c r="B198" s="363">
        <f t="shared" si="39"/>
        <v>0</v>
      </c>
      <c r="C198" s="352"/>
      <c r="D198" s="352"/>
      <c r="E198" s="352">
        <f t="shared" si="39"/>
        <v>1</v>
      </c>
      <c r="F198" s="401">
        <f t="shared" si="39"/>
        <v>4500000</v>
      </c>
      <c r="G198" s="374">
        <f t="shared" si="39"/>
        <v>54000000</v>
      </c>
    </row>
    <row r="199" spans="1:7" ht="30" customHeight="1">
      <c r="A199" s="350" t="s">
        <v>1909</v>
      </c>
      <c r="B199" s="356"/>
      <c r="C199" s="365"/>
      <c r="D199" s="366"/>
      <c r="E199" s="366"/>
      <c r="F199" s="367"/>
      <c r="G199" s="354"/>
    </row>
    <row r="200" spans="1:7" ht="30" customHeight="1">
      <c r="A200" s="386" t="s">
        <v>1935</v>
      </c>
      <c r="B200" s="386"/>
      <c r="C200" s="360"/>
      <c r="D200" s="352"/>
      <c r="E200" s="352"/>
      <c r="F200" s="429"/>
      <c r="G200" s="354"/>
    </row>
    <row r="201" spans="1:7" ht="30" customHeight="1">
      <c r="A201" s="359" t="s">
        <v>291</v>
      </c>
      <c r="B201" s="359" t="s">
        <v>59</v>
      </c>
      <c r="C201" s="360">
        <v>1</v>
      </c>
      <c r="D201" s="352"/>
      <c r="E201" s="352">
        <f t="shared" si="35"/>
        <v>1</v>
      </c>
      <c r="F201" s="399">
        <v>8500000</v>
      </c>
      <c r="G201" s="354">
        <f t="shared" si="36"/>
        <v>102000000</v>
      </c>
    </row>
    <row r="202" spans="1:7" ht="30" customHeight="1">
      <c r="A202" s="356" t="s">
        <v>320</v>
      </c>
      <c r="B202" s="356" t="s">
        <v>129</v>
      </c>
      <c r="C202" s="351">
        <v>3</v>
      </c>
      <c r="D202" s="351"/>
      <c r="E202" s="351">
        <f t="shared" si="35"/>
        <v>3</v>
      </c>
      <c r="F202" s="400">
        <v>7500000</v>
      </c>
      <c r="G202" s="354">
        <f t="shared" si="36"/>
        <v>90000000</v>
      </c>
    </row>
    <row r="203" spans="1:7" ht="30" customHeight="1">
      <c r="A203" s="440" t="s">
        <v>524</v>
      </c>
      <c r="B203" s="440" t="s">
        <v>123</v>
      </c>
      <c r="C203" s="441">
        <v>4</v>
      </c>
      <c r="D203" s="441">
        <v>1</v>
      </c>
      <c r="E203" s="441">
        <v>3</v>
      </c>
      <c r="F203" s="446">
        <v>6000000</v>
      </c>
      <c r="G203" s="443">
        <f t="shared" si="36"/>
        <v>72000000</v>
      </c>
    </row>
    <row r="204" spans="1:7" ht="30" customHeight="1">
      <c r="A204" s="359" t="s">
        <v>333</v>
      </c>
      <c r="B204" s="359" t="s">
        <v>67</v>
      </c>
      <c r="C204" s="360">
        <v>1</v>
      </c>
      <c r="D204" s="352"/>
      <c r="E204" s="352">
        <f t="shared" si="35"/>
        <v>1</v>
      </c>
      <c r="F204" s="399">
        <v>4500000</v>
      </c>
      <c r="G204" s="354">
        <f t="shared" si="36"/>
        <v>54000000</v>
      </c>
    </row>
    <row r="205" spans="1:7" ht="30" customHeight="1">
      <c r="A205" s="359" t="s">
        <v>621</v>
      </c>
      <c r="B205" s="359" t="s">
        <v>279</v>
      </c>
      <c r="C205" s="360">
        <v>1</v>
      </c>
      <c r="D205" s="352"/>
      <c r="E205" s="352">
        <f t="shared" si="35"/>
        <v>1</v>
      </c>
      <c r="F205" s="399">
        <v>3600000</v>
      </c>
      <c r="G205" s="354">
        <f t="shared" si="36"/>
        <v>43200000</v>
      </c>
    </row>
    <row r="206" spans="1:7" ht="30" customHeight="1">
      <c r="A206" s="359" t="s">
        <v>627</v>
      </c>
      <c r="B206" s="359" t="s">
        <v>287</v>
      </c>
      <c r="C206" s="360">
        <v>3</v>
      </c>
      <c r="D206" s="352"/>
      <c r="E206" s="352">
        <f t="shared" si="35"/>
        <v>3</v>
      </c>
      <c r="F206" s="399">
        <v>2600000</v>
      </c>
      <c r="G206" s="354">
        <f t="shared" si="36"/>
        <v>31200000</v>
      </c>
    </row>
    <row r="207" spans="1:7" ht="30" customHeight="1">
      <c r="A207" s="386" t="s">
        <v>1909</v>
      </c>
      <c r="B207" s="386"/>
      <c r="C207" s="394">
        <f t="shared" ref="C207" si="40">SUM(C201:C206)</f>
        <v>13</v>
      </c>
      <c r="D207" s="366"/>
      <c r="E207" s="366">
        <v>12</v>
      </c>
      <c r="F207" s="395"/>
      <c r="G207" s="354"/>
    </row>
    <row r="208" spans="1:7" ht="30" customHeight="1">
      <c r="A208" s="430" t="s">
        <v>1936</v>
      </c>
      <c r="B208" s="431"/>
      <c r="C208" s="432"/>
      <c r="D208" s="432"/>
      <c r="E208" s="432"/>
      <c r="F208" s="431"/>
      <c r="G208" s="349"/>
    </row>
    <row r="209" spans="1:7" ht="30" customHeight="1">
      <c r="A209" s="356" t="s">
        <v>108</v>
      </c>
      <c r="B209" s="356" t="s">
        <v>427</v>
      </c>
      <c r="C209" s="433">
        <v>1</v>
      </c>
      <c r="D209" s="434"/>
      <c r="E209" s="434">
        <f t="shared" ref="E209:E218" si="41">C209</f>
        <v>1</v>
      </c>
      <c r="F209" s="400">
        <v>10600000</v>
      </c>
      <c r="G209" s="354">
        <f t="shared" ref="G209:G218" si="42">(F209*12)</f>
        <v>127200000</v>
      </c>
    </row>
    <row r="210" spans="1:7" ht="30" customHeight="1">
      <c r="A210" s="356" t="s">
        <v>291</v>
      </c>
      <c r="B210" s="356" t="s">
        <v>59</v>
      </c>
      <c r="C210" s="433">
        <v>1</v>
      </c>
      <c r="D210" s="434"/>
      <c r="E210" s="434">
        <f t="shared" si="41"/>
        <v>1</v>
      </c>
      <c r="F210" s="399">
        <v>8500000</v>
      </c>
      <c r="G210" s="354">
        <f t="shared" si="42"/>
        <v>102000000</v>
      </c>
    </row>
    <row r="211" spans="1:7" ht="30" customHeight="1">
      <c r="A211" s="356" t="s">
        <v>320</v>
      </c>
      <c r="B211" s="356" t="s">
        <v>129</v>
      </c>
      <c r="C211" s="433">
        <v>4</v>
      </c>
      <c r="D211" s="434"/>
      <c r="E211" s="434">
        <f t="shared" si="41"/>
        <v>4</v>
      </c>
      <c r="F211" s="400">
        <v>7500000</v>
      </c>
      <c r="G211" s="354">
        <f t="shared" si="42"/>
        <v>90000000</v>
      </c>
    </row>
    <row r="212" spans="1:7" ht="30" customHeight="1">
      <c r="A212" s="440" t="s">
        <v>524</v>
      </c>
      <c r="B212" s="440" t="s">
        <v>123</v>
      </c>
      <c r="C212" s="445">
        <v>10</v>
      </c>
      <c r="D212" s="445">
        <v>2</v>
      </c>
      <c r="E212" s="445">
        <v>8</v>
      </c>
      <c r="F212" s="446">
        <v>6000000</v>
      </c>
      <c r="G212" s="443">
        <f t="shared" si="42"/>
        <v>72000000</v>
      </c>
    </row>
    <row r="213" spans="1:7" ht="30" customHeight="1">
      <c r="A213" s="356" t="s">
        <v>1357</v>
      </c>
      <c r="B213" s="356" t="s">
        <v>123</v>
      </c>
      <c r="C213" s="433">
        <v>1</v>
      </c>
      <c r="D213" s="434"/>
      <c r="E213" s="434">
        <f t="shared" si="41"/>
        <v>1</v>
      </c>
      <c r="F213" s="399">
        <v>6000000</v>
      </c>
      <c r="G213" s="354">
        <f t="shared" si="42"/>
        <v>72000000</v>
      </c>
    </row>
    <row r="214" spans="1:7" ht="30" customHeight="1">
      <c r="A214" s="356" t="s">
        <v>333</v>
      </c>
      <c r="B214" s="356" t="s">
        <v>67</v>
      </c>
      <c r="C214" s="433">
        <v>1</v>
      </c>
      <c r="D214" s="434"/>
      <c r="E214" s="434">
        <f t="shared" si="41"/>
        <v>1</v>
      </c>
      <c r="F214" s="399">
        <v>4500000</v>
      </c>
      <c r="G214" s="354">
        <f t="shared" si="42"/>
        <v>54000000</v>
      </c>
    </row>
    <row r="215" spans="1:7" ht="30" customHeight="1">
      <c r="A215" s="356" t="s">
        <v>360</v>
      </c>
      <c r="B215" s="356" t="s">
        <v>67</v>
      </c>
      <c r="C215" s="433">
        <v>1</v>
      </c>
      <c r="D215" s="434"/>
      <c r="E215" s="434">
        <f t="shared" si="41"/>
        <v>1</v>
      </c>
      <c r="F215" s="399">
        <v>4500000</v>
      </c>
      <c r="G215" s="354">
        <f t="shared" si="42"/>
        <v>54000000</v>
      </c>
    </row>
    <row r="216" spans="1:7" ht="30" customHeight="1">
      <c r="A216" s="356" t="s">
        <v>334</v>
      </c>
      <c r="B216" s="356" t="s">
        <v>279</v>
      </c>
      <c r="C216" s="433">
        <v>3</v>
      </c>
      <c r="D216" s="434"/>
      <c r="E216" s="434">
        <f t="shared" si="41"/>
        <v>3</v>
      </c>
      <c r="F216" s="399">
        <v>3600000</v>
      </c>
      <c r="G216" s="354">
        <f t="shared" si="42"/>
        <v>43200000</v>
      </c>
    </row>
    <row r="217" spans="1:7" ht="30" customHeight="1">
      <c r="A217" s="356" t="s">
        <v>627</v>
      </c>
      <c r="B217" s="356" t="s">
        <v>1937</v>
      </c>
      <c r="C217" s="433">
        <v>1</v>
      </c>
      <c r="D217" s="434"/>
      <c r="E217" s="434">
        <f t="shared" si="41"/>
        <v>1</v>
      </c>
      <c r="F217" s="399">
        <v>2600000</v>
      </c>
      <c r="G217" s="354">
        <f t="shared" si="42"/>
        <v>31200000</v>
      </c>
    </row>
    <row r="218" spans="1:7" ht="30" customHeight="1">
      <c r="A218" s="356" t="s">
        <v>1938</v>
      </c>
      <c r="B218" s="356" t="s">
        <v>287</v>
      </c>
      <c r="C218" s="433">
        <v>7</v>
      </c>
      <c r="D218" s="434"/>
      <c r="E218" s="434">
        <f t="shared" si="41"/>
        <v>7</v>
      </c>
      <c r="F218" s="399">
        <v>2600000</v>
      </c>
      <c r="G218" s="354">
        <f t="shared" si="42"/>
        <v>31200000</v>
      </c>
    </row>
    <row r="219" spans="1:7" ht="30" customHeight="1">
      <c r="A219" s="363" t="str">
        <f t="shared" ref="A219:G219" si="43">A187</f>
        <v>Research Assistant</v>
      </c>
      <c r="B219" s="363">
        <f t="shared" si="43"/>
        <v>0</v>
      </c>
      <c r="C219" s="434">
        <f t="shared" si="43"/>
        <v>0</v>
      </c>
      <c r="D219" s="434">
        <f t="shared" si="43"/>
        <v>0</v>
      </c>
      <c r="E219" s="434">
        <f t="shared" si="43"/>
        <v>1</v>
      </c>
      <c r="F219" s="401">
        <f t="shared" si="43"/>
        <v>4500000</v>
      </c>
      <c r="G219" s="374">
        <f t="shared" si="43"/>
        <v>54000000</v>
      </c>
    </row>
    <row r="220" spans="1:7" ht="30" customHeight="1">
      <c r="A220" s="350" t="s">
        <v>1909</v>
      </c>
      <c r="B220" s="350"/>
      <c r="C220" s="435">
        <f t="shared" ref="C220" si="44">SUM(C209:C218)</f>
        <v>30</v>
      </c>
      <c r="D220" s="436"/>
      <c r="E220" s="436">
        <v>29</v>
      </c>
      <c r="F220" s="350"/>
      <c r="G220" s="354"/>
    </row>
    <row r="221" spans="1:7" ht="30" customHeight="1">
      <c r="A221" s="348" t="s">
        <v>1939</v>
      </c>
      <c r="B221" s="348"/>
      <c r="C221" s="437"/>
      <c r="D221" s="437"/>
      <c r="E221" s="437">
        <f t="shared" ref="E221:E230" si="45">C221</f>
        <v>0</v>
      </c>
      <c r="F221" s="347"/>
      <c r="G221" s="349"/>
    </row>
    <row r="222" spans="1:7" ht="30" customHeight="1">
      <c r="A222" s="356" t="s">
        <v>308</v>
      </c>
      <c r="B222" s="356" t="s">
        <v>59</v>
      </c>
      <c r="C222" s="433">
        <v>1</v>
      </c>
      <c r="D222" s="434"/>
      <c r="E222" s="434">
        <f t="shared" si="45"/>
        <v>1</v>
      </c>
      <c r="F222" s="399">
        <v>8500000</v>
      </c>
      <c r="G222" s="354">
        <f t="shared" ref="G222:G230" si="46">(F222*12)</f>
        <v>102000000</v>
      </c>
    </row>
    <row r="223" spans="1:7" ht="30" customHeight="1">
      <c r="A223" s="356" t="s">
        <v>1918</v>
      </c>
      <c r="B223" s="356" t="s">
        <v>129</v>
      </c>
      <c r="C223" s="433">
        <v>6</v>
      </c>
      <c r="D223" s="434"/>
      <c r="E223" s="434">
        <f t="shared" si="45"/>
        <v>6</v>
      </c>
      <c r="F223" s="400">
        <v>7500000</v>
      </c>
      <c r="G223" s="354">
        <f t="shared" si="46"/>
        <v>90000000</v>
      </c>
    </row>
    <row r="224" spans="1:7" ht="30" customHeight="1">
      <c r="A224" s="439" t="s">
        <v>524</v>
      </c>
      <c r="B224" s="440" t="s">
        <v>123</v>
      </c>
      <c r="C224" s="445">
        <v>12</v>
      </c>
      <c r="D224" s="445">
        <v>2</v>
      </c>
      <c r="E224" s="445">
        <v>10</v>
      </c>
      <c r="F224" s="446">
        <v>6000000</v>
      </c>
      <c r="G224" s="443">
        <f t="shared" si="46"/>
        <v>72000000</v>
      </c>
    </row>
    <row r="225" spans="1:7" ht="30" customHeight="1">
      <c r="A225" s="356" t="s">
        <v>1357</v>
      </c>
      <c r="B225" s="356" t="s">
        <v>123</v>
      </c>
      <c r="C225" s="433">
        <v>1</v>
      </c>
      <c r="D225" s="434"/>
      <c r="E225" s="434">
        <f t="shared" si="45"/>
        <v>1</v>
      </c>
      <c r="F225" s="399">
        <v>6000000</v>
      </c>
      <c r="G225" s="354">
        <f t="shared" si="46"/>
        <v>72000000</v>
      </c>
    </row>
    <row r="226" spans="1:7" ht="30" customHeight="1">
      <c r="A226" s="356" t="s">
        <v>333</v>
      </c>
      <c r="B226" s="356" t="s">
        <v>67</v>
      </c>
      <c r="C226" s="433">
        <v>1</v>
      </c>
      <c r="D226" s="434"/>
      <c r="E226" s="434">
        <f t="shared" si="45"/>
        <v>1</v>
      </c>
      <c r="F226" s="399">
        <v>4500000</v>
      </c>
      <c r="G226" s="354">
        <f t="shared" si="46"/>
        <v>54000000</v>
      </c>
    </row>
    <row r="227" spans="1:7" ht="30" customHeight="1">
      <c r="A227" s="356" t="s">
        <v>360</v>
      </c>
      <c r="B227" s="356" t="s">
        <v>67</v>
      </c>
      <c r="C227" s="433">
        <v>1</v>
      </c>
      <c r="D227" s="434"/>
      <c r="E227" s="434">
        <f t="shared" si="45"/>
        <v>1</v>
      </c>
      <c r="F227" s="399">
        <v>4500000</v>
      </c>
      <c r="G227" s="354">
        <f t="shared" si="46"/>
        <v>54000000</v>
      </c>
    </row>
    <row r="228" spans="1:7" ht="30" customHeight="1">
      <c r="A228" s="356" t="s">
        <v>334</v>
      </c>
      <c r="B228" s="356" t="s">
        <v>279</v>
      </c>
      <c r="C228" s="433">
        <v>3</v>
      </c>
      <c r="D228" s="434"/>
      <c r="E228" s="434">
        <f t="shared" si="45"/>
        <v>3</v>
      </c>
      <c r="F228" s="400">
        <v>3600000</v>
      </c>
      <c r="G228" s="354">
        <f t="shared" si="46"/>
        <v>43200000</v>
      </c>
    </row>
    <row r="229" spans="1:7" ht="30" customHeight="1">
      <c r="A229" s="356" t="s">
        <v>627</v>
      </c>
      <c r="B229" s="356" t="s">
        <v>287</v>
      </c>
      <c r="C229" s="433">
        <v>7</v>
      </c>
      <c r="D229" s="434"/>
      <c r="E229" s="434">
        <f t="shared" si="45"/>
        <v>7</v>
      </c>
      <c r="F229" s="400">
        <v>2600000</v>
      </c>
      <c r="G229" s="354">
        <f t="shared" si="46"/>
        <v>31200000</v>
      </c>
    </row>
    <row r="230" spans="1:7" ht="30" customHeight="1">
      <c r="A230" s="356" t="s">
        <v>1940</v>
      </c>
      <c r="B230" s="356" t="s">
        <v>287</v>
      </c>
      <c r="C230" s="433">
        <v>1</v>
      </c>
      <c r="D230" s="434"/>
      <c r="E230" s="434">
        <f t="shared" si="45"/>
        <v>1</v>
      </c>
      <c r="F230" s="400">
        <v>2600000</v>
      </c>
      <c r="G230" s="354">
        <f t="shared" si="46"/>
        <v>31200000</v>
      </c>
    </row>
    <row r="231" spans="1:7" ht="30" customHeight="1">
      <c r="A231" s="363" t="str">
        <f t="shared" ref="A231:G231" si="47">A219</f>
        <v>Research Assistant</v>
      </c>
      <c r="B231" s="363">
        <f t="shared" si="47"/>
        <v>0</v>
      </c>
      <c r="C231" s="434">
        <f t="shared" si="47"/>
        <v>0</v>
      </c>
      <c r="D231" s="434">
        <f t="shared" si="47"/>
        <v>0</v>
      </c>
      <c r="E231" s="434">
        <f t="shared" si="47"/>
        <v>1</v>
      </c>
      <c r="F231" s="438">
        <f t="shared" si="47"/>
        <v>4500000</v>
      </c>
      <c r="G231" s="374">
        <f t="shared" si="47"/>
        <v>54000000</v>
      </c>
    </row>
    <row r="232" spans="1:7" ht="30" customHeight="1">
      <c r="A232" s="350" t="s">
        <v>1909</v>
      </c>
      <c r="B232" s="350"/>
      <c r="C232" s="435">
        <f t="shared" ref="C232" si="48">SUM(C222:C230)</f>
        <v>33</v>
      </c>
      <c r="D232" s="435"/>
      <c r="E232" s="435">
        <v>32</v>
      </c>
      <c r="F232" s="350"/>
      <c r="G232" s="354"/>
    </row>
    <row r="233" spans="1:7" ht="30" customHeight="1">
      <c r="A233" s="348" t="s">
        <v>1941</v>
      </c>
      <c r="B233" s="348"/>
      <c r="C233" s="437"/>
      <c r="D233" s="437"/>
      <c r="E233" s="437"/>
      <c r="F233" s="347"/>
      <c r="G233" s="349"/>
    </row>
    <row r="234" spans="1:7" ht="30" customHeight="1">
      <c r="A234" s="356" t="s">
        <v>108</v>
      </c>
      <c r="B234" s="356" t="s">
        <v>427</v>
      </c>
      <c r="C234" s="433">
        <v>1</v>
      </c>
      <c r="D234" s="434"/>
      <c r="E234" s="434">
        <f t="shared" ref="E234:E245" si="49">C234</f>
        <v>1</v>
      </c>
      <c r="F234" s="400">
        <v>10600000</v>
      </c>
      <c r="G234" s="354">
        <f t="shared" ref="G234:G243" si="50">(F234*12)</f>
        <v>127200000</v>
      </c>
    </row>
    <row r="235" spans="1:7" ht="30" customHeight="1">
      <c r="A235" s="356" t="s">
        <v>291</v>
      </c>
      <c r="B235" s="356" t="s">
        <v>59</v>
      </c>
      <c r="C235" s="433">
        <v>1</v>
      </c>
      <c r="D235" s="434"/>
      <c r="E235" s="434">
        <f t="shared" si="49"/>
        <v>1</v>
      </c>
      <c r="F235" s="399">
        <v>8500000</v>
      </c>
      <c r="G235" s="354">
        <f t="shared" si="50"/>
        <v>102000000</v>
      </c>
    </row>
    <row r="236" spans="1:7" ht="30" customHeight="1">
      <c r="A236" s="356" t="s">
        <v>1918</v>
      </c>
      <c r="B236" s="356" t="s">
        <v>129</v>
      </c>
      <c r="C236" s="433">
        <v>5</v>
      </c>
      <c r="D236" s="434"/>
      <c r="E236" s="434">
        <f t="shared" si="49"/>
        <v>5</v>
      </c>
      <c r="F236" s="400">
        <v>7500000</v>
      </c>
      <c r="G236" s="354">
        <f t="shared" si="50"/>
        <v>90000000</v>
      </c>
    </row>
    <row r="237" spans="1:7" ht="30" customHeight="1">
      <c r="A237" s="440" t="s">
        <v>326</v>
      </c>
      <c r="B237" s="440" t="s">
        <v>123</v>
      </c>
      <c r="C237" s="445">
        <v>9</v>
      </c>
      <c r="D237" s="445">
        <v>1</v>
      </c>
      <c r="E237" s="445">
        <v>8</v>
      </c>
      <c r="F237" s="446">
        <v>6000000</v>
      </c>
      <c r="G237" s="443">
        <f t="shared" si="50"/>
        <v>72000000</v>
      </c>
    </row>
    <row r="238" spans="1:7" ht="30" customHeight="1">
      <c r="A238" s="356" t="s">
        <v>1357</v>
      </c>
      <c r="B238" s="356" t="s">
        <v>123</v>
      </c>
      <c r="C238" s="433">
        <v>1</v>
      </c>
      <c r="D238" s="434"/>
      <c r="E238" s="434">
        <f t="shared" si="49"/>
        <v>1</v>
      </c>
      <c r="F238" s="399">
        <v>6000000</v>
      </c>
      <c r="G238" s="354">
        <f t="shared" si="50"/>
        <v>72000000</v>
      </c>
    </row>
    <row r="239" spans="1:7" ht="30" customHeight="1">
      <c r="A239" s="356" t="s">
        <v>617</v>
      </c>
      <c r="B239" s="356" t="s">
        <v>67</v>
      </c>
      <c r="C239" s="433">
        <v>2</v>
      </c>
      <c r="D239" s="434"/>
      <c r="E239" s="434">
        <f t="shared" si="49"/>
        <v>2</v>
      </c>
      <c r="F239" s="399">
        <v>4500000</v>
      </c>
      <c r="G239" s="354">
        <f t="shared" si="50"/>
        <v>54000000</v>
      </c>
    </row>
    <row r="240" spans="1:7" ht="30" customHeight="1">
      <c r="A240" s="356" t="s">
        <v>360</v>
      </c>
      <c r="B240" s="356" t="s">
        <v>67</v>
      </c>
      <c r="C240" s="433">
        <v>1</v>
      </c>
      <c r="D240" s="434"/>
      <c r="E240" s="434">
        <f t="shared" si="49"/>
        <v>1</v>
      </c>
      <c r="F240" s="399">
        <v>4500000</v>
      </c>
      <c r="G240" s="354">
        <f t="shared" si="50"/>
        <v>54000000</v>
      </c>
    </row>
    <row r="241" spans="1:7" ht="30" customHeight="1">
      <c r="A241" s="356" t="s">
        <v>334</v>
      </c>
      <c r="B241" s="356" t="s">
        <v>279</v>
      </c>
      <c r="C241" s="433">
        <v>3</v>
      </c>
      <c r="D241" s="434"/>
      <c r="E241" s="434">
        <f t="shared" si="49"/>
        <v>3</v>
      </c>
      <c r="F241" s="400">
        <v>3600000</v>
      </c>
      <c r="G241" s="354">
        <f t="shared" si="50"/>
        <v>43200000</v>
      </c>
    </row>
    <row r="242" spans="1:7" ht="30" customHeight="1">
      <c r="A242" s="356" t="s">
        <v>1927</v>
      </c>
      <c r="B242" s="356" t="s">
        <v>287</v>
      </c>
      <c r="C242" s="433">
        <v>7</v>
      </c>
      <c r="D242" s="434"/>
      <c r="E242" s="434">
        <f t="shared" si="49"/>
        <v>7</v>
      </c>
      <c r="F242" s="400">
        <v>2600000</v>
      </c>
      <c r="G242" s="354">
        <f t="shared" si="50"/>
        <v>31200000</v>
      </c>
    </row>
    <row r="243" spans="1:7" ht="30" customHeight="1">
      <c r="A243" s="356" t="s">
        <v>1940</v>
      </c>
      <c r="B243" s="356" t="s">
        <v>287</v>
      </c>
      <c r="C243" s="433">
        <v>1</v>
      </c>
      <c r="D243" s="434"/>
      <c r="E243" s="434">
        <f t="shared" si="49"/>
        <v>1</v>
      </c>
      <c r="F243" s="400">
        <v>2600000</v>
      </c>
      <c r="G243" s="354">
        <f t="shared" si="50"/>
        <v>31200000</v>
      </c>
    </row>
    <row r="244" spans="1:7" ht="30" customHeight="1">
      <c r="A244" s="363" t="str">
        <f t="shared" ref="A244:G244" si="51">A231</f>
        <v>Research Assistant</v>
      </c>
      <c r="B244" s="363">
        <f t="shared" si="51"/>
        <v>0</v>
      </c>
      <c r="C244" s="434">
        <f t="shared" si="51"/>
        <v>0</v>
      </c>
      <c r="D244" s="434">
        <f t="shared" si="51"/>
        <v>0</v>
      </c>
      <c r="E244" s="434">
        <f t="shared" si="51"/>
        <v>1</v>
      </c>
      <c r="F244" s="438">
        <f t="shared" si="51"/>
        <v>4500000</v>
      </c>
      <c r="G244" s="374">
        <f t="shared" si="51"/>
        <v>54000000</v>
      </c>
    </row>
    <row r="245" spans="1:7" ht="30" customHeight="1">
      <c r="A245" s="350" t="s">
        <v>1909</v>
      </c>
      <c r="B245" s="350"/>
      <c r="C245" s="435">
        <f t="shared" ref="C245" si="52">SUM(C234:C243)</f>
        <v>31</v>
      </c>
      <c r="D245" s="436">
        <v>14</v>
      </c>
      <c r="E245" s="436">
        <f t="shared" si="49"/>
        <v>31</v>
      </c>
      <c r="F245" s="350"/>
      <c r="G245" s="354"/>
    </row>
  </sheetData>
  <mergeCells count="3">
    <mergeCell ref="C1:H1"/>
    <mergeCell ref="A2:G2"/>
    <mergeCell ref="A40:C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2_99_8_1_1_1" rangeCreator="" othersAccessPermission="edit"/>
    <arrUserId title="Range2_99_1_10_1_1" rangeCreator="" othersAccessPermission="edit"/>
    <arrUserId title="Range2_99_25_1_1_2" rangeCreator="" othersAccessPermission="edit"/>
    <arrUserId title="Range2_99_26_1_1" rangeCreator="" othersAccessPermission="edit"/>
    <arrUserId title="Range2_99_27_1_1" rangeCreator="" othersAccessPermission="edit"/>
    <arrUserId title="Range2_99_1_17_1_1_1" rangeCreator="" othersAccessPermission="edit"/>
    <arrUserId title="Range2_99_22_1" rangeCreator="" othersAccessPermission="edit"/>
    <arrUserId title="Range2_99_1_17_1" rangeCreator="" othersAccessPermission="edit"/>
    <arrUserId title="Range2_99_27_1" rangeCreator="" othersAccessPermission="edit"/>
    <arrUserId title="Range2_99_1_15_1" rangeCreator="" othersAccessPermission="edit"/>
    <arrUserId title="Range2_99_1_2_1" rangeCreator="" othersAccessPermission="edit"/>
    <arrUserId title="Range2_99_1_3_2" rangeCreator="" othersAccessPermission="edit"/>
    <arrUserId title="Range2_99_1_1_1_1" rangeCreator="" othersAccessPermission="edit"/>
    <arrUserId title="Range2_3" rangeCreator="" othersAccessPermission="edit"/>
    <arrUserId title="Range2_99_14_1" rangeCreator="" othersAccessPermission="edit"/>
    <arrUserId title="Range2_99_15" rangeCreator="" othersAccessPermission="edit"/>
    <arrUserId title="Range2_99_16" rangeCreator="" othersAccessPermission="edit"/>
    <arrUserId title="Range2_99_1_23_1" rangeCreator="" othersAccessPermission="edit"/>
    <arrUserId title="Range2_99_18_1" rangeCreator="" othersAccessPermission="edit"/>
    <arrUserId title="Range2_99_18_2" rangeCreator="" othersAccessPermission="edit"/>
    <arrUserId title="Range2_99_18_3" rangeCreator="" othersAccessPermission="edit"/>
    <arrUserId title="Range2_99_18_4" rangeCreator="" othersAccessPermission="edit"/>
    <arrUserId title="Range2_99_18_5" rangeCreator="" othersAccessPermission="edit"/>
    <arrUserId title="Range2_99_1_5_2" rangeCreator="" othersAccessPermission="edit"/>
    <arrUserId title="Range2_99_1_6_1" rangeCreator="" othersAccessPermission="edit"/>
    <arrUserId title="Range2_99_1_7_1" rangeCreator="" othersAccessPermission="edit"/>
    <arrUserId title="Range2_99_1_11_1_1" rangeCreator="" othersAccessPermission="edit"/>
    <arrUserId title="Range2_99_17_1" rangeCreator="" othersAccessPermission="edit"/>
    <arrUserId title="Range2_99_3_1_1" rangeCreator="" othersAccessPermission="edit"/>
    <arrUserId title="Range2_99_17_2" rangeCreator="" othersAccessPermission="edit"/>
    <arrUserId title="Range2_99_18_6" rangeCreator="" othersAccessPermission="edit"/>
    <arrUserId title="Range2_99_1_8_1" rangeCreator="" othersAccessPermission="edit"/>
    <arrUserId title="Range2_99_18_8" rangeCreator="" othersAccessPermission="edit"/>
    <arrUserId title="Range2_99_19_1" rangeCreator="" othersAccessPermission="edit"/>
    <arrUserId title="Range2_99_1_9_1" rangeCreator="" othersAccessPermission="edit"/>
    <arrUserId title="Range2_99_20_1" rangeCreator="" othersAccessPermission="edit"/>
    <arrUserId title="Range2_99_17_3" rangeCreator="" othersAccessPermission="edit"/>
    <arrUserId title="Range2_99_1_16_1" rangeCreator="" othersAccessPermission="edit"/>
    <arrUserId title="Range2_99_1_10_1" rangeCreator="" othersAccessPermission="edit"/>
    <arrUserId title="Range2_99_1_1_2_1" rangeCreator="" othersAccessPermission="edit"/>
    <arrUserId title="Range2_99_17_4" rangeCreator="" othersAccessPermission="edit"/>
    <arrUserId title="Range2_99_17_5" rangeCreator="" othersAccessPermission="edit"/>
    <arrUserId title="Range2_99_1_6_1_1_2_1" rangeCreator="" othersAccessPermission="edit"/>
    <arrUserId title="Range2_99_17_6" rangeCreator="" othersAccessPermission="edit"/>
    <arrUserId title="Range2_99_1_4_1" rangeCreator="" othersAccessPermission="edit"/>
    <arrUserId title="Range2_99_1_4_2" rangeCreator="" othersAccessPermission="edit"/>
    <arrUserId title="Range2_99_1_2_2_1" rangeCreator="" othersAccessPermission="edit"/>
    <arrUserId title="Range2_99_5_1_2" rangeCreator="" othersAccessPermission="edit"/>
    <arrUserId title="Range2_99_17_1_1" rangeCreator="" othersAccessPermission="edit"/>
    <arrUserId title="Range2_99_6_2_1" rangeCreator="" othersAccessPermission="edit"/>
    <arrUserId title="Range2_99_1_12_1" rangeCreator="" othersAccessPermission="edit"/>
    <arrUserId title="Range2_99_23_1" rangeCreator="" othersAccessPermission="edit"/>
    <arrUserId title="Range2_99_22_1_2" rangeCreator="" othersAccessPermission="edit"/>
    <arrUserId title="Range2_99_22_2" rangeCreator="" othersAccessPermission="edit"/>
    <arrUserId title="Range2_99_22_3" rangeCreator="" othersAccessPermission="edit"/>
    <arrUserId title="Range2_99_21_1" rangeCreator="" othersAccessPermission="edit"/>
    <arrUserId title="Range2_99_18_1_3_1" rangeCreator="" othersAccessPermission="edit"/>
    <arrUserId title="Range2_99_23_2" rangeCreator="" othersAccessPermission="edit"/>
    <arrUserId title="Range2_99_23_3" rangeCreator="" othersAccessPermission="edit"/>
    <arrUserId title="Range2_99_24_1" rangeCreator="" othersAccessPermission="edit"/>
    <arrUserId title="Range2_99_24_2" rangeCreator="" othersAccessPermission="edit"/>
    <arrUserId title="Range2_99_18_7" rangeCreator="" othersAccessPermission="edit"/>
    <arrUserId title="Range2_99_28_1_1" rangeCreator="" othersAccessPermission="edit"/>
    <arrUserId title="Range2_99_1_6" rangeCreator="" othersAccessPermission="edit"/>
    <arrUserId title="Range2_99_14_3" rangeCreator="" othersAccessPermission="edit"/>
    <arrUserId title="Range2_99_1_1_9" rangeCreator="" othersAccessPermission="edit"/>
    <arrUserId title="Range2_99_1_22_1_6" rangeCreator="" othersAccessPermission="edit"/>
    <arrUserId title="Range2_99_1_12" rangeCreator="" othersAccessPermission="edit"/>
    <arrUserId title="Range2_99_1_5" rangeCreator="" othersAccessPermission="edit"/>
    <arrUserId title="Range2_99_1_1_2_4" rangeCreator="" othersAccessPermission="edit"/>
    <arrUserId title="Range2_99_1_2_4" rangeCreator="" othersAccessPermission="edit"/>
    <arrUserId title="Range2_99_1_2_5_2" rangeCreator="" othersAccessPermission="edit"/>
    <arrUserId title="Range2_99_1_9" rangeCreator="" othersAccessPermission="edit"/>
    <arrUserId title="Range2_75_2_2" rangeCreator="" othersAccessPermission="edit"/>
    <arrUserId title="Range2_6_2_2" rangeCreator="" othersAccessPermission="edit"/>
    <arrUserId title="Range2_8_2_2" rangeCreator="" othersAccessPermission="edit"/>
    <arrUserId title="Range2_99_4_3_2" rangeCreator="" othersAccessPermission="edit"/>
    <arrUserId title="Range2_99_6_3_2" rangeCreator="" othersAccessPermission="edit"/>
    <arrUserId title="Range2_99_10_3_2" rangeCreator="" othersAccessPermission="edit"/>
    <arrUserId title="Range2_99_1_2_3_3" rangeCreator="" othersAccessPermission="edit"/>
    <arrUserId title="Range2_99_22_1_1_2_3" rangeCreator="" othersAccessPermission="edit"/>
    <arrUserId title="Range2_99_23_1_1_2_3" rangeCreator="" othersAccessPermission="edit"/>
    <arrUserId title="Range2_99_1" rangeCreator="" othersAccessPermission="edit"/>
    <arrUserId title="Range2_20_1" rangeCreator="" othersAccessPermission="edit"/>
    <arrUserId title="Range2_75_3" rangeCreator="" othersAccessPermission="edit"/>
    <arrUserId title="Range2_99_3_3" rangeCreator="" othersAccessPermission="edit"/>
    <arrUserId title="Range2_6_3" rangeCreator="" othersAccessPermission="edit"/>
    <arrUserId title="Range2_11_1" rangeCreator="" othersAccessPermission="edit"/>
    <arrUserId title="Range2_99_4_2" rangeCreator="" othersAccessPermission="edit"/>
    <arrUserId title="Range2_99_6_4" rangeCreator="" othersAccessPermission="edit"/>
    <arrUserId title="Range2_99_7_1" rangeCreator="" othersAccessPermission="edit"/>
    <arrUserId title="Range2_99_8_1" rangeCreator="" othersAccessPermission="edit"/>
    <arrUserId title="Range2_99_13_1" rangeCreator="" othersAccessPermission="edit"/>
    <arrUserId title="Range2_99_4_1_1" rangeCreator="" othersAccessPermission="edit"/>
    <arrUserId title="Range2_63_1_1" rangeCreator="" othersAccessPermission="edit"/>
    <arrUserId title="Range2_99_1_2_5" rangeCreator="" othersAccessPermission="edit"/>
    <arrUserId title="Range2_99_22_1_1_1" rangeCreator="" othersAccessPermission="edit"/>
    <arrUserId title="Range2_99_1_1" rangeCreator="" othersAccessPermission="edit"/>
    <arrUserId title="Range2_99_1_3" rangeCreator="" othersAccessPermission="edit"/>
    <arrUserId title="Range2_78" rangeCreator="" othersAccessPermission="edit"/>
    <arrUserId title="Range2_82" rangeCreator="" othersAccessPermission="edit"/>
    <arrUserId title="Range2_99_1_4" rangeCreator="" othersAccessPermission="edit"/>
    <arrUserId title="Range2_99_1_7" rangeCreator="" othersAccessPermission="edit"/>
    <arrUserId title="Range2_99_10_3_1_1" rangeCreator="" othersAccessPermission="edit"/>
    <arrUserId title="Range2_99_1_2_3_1_1" rangeCreator="" othersAccessPermission="edit"/>
    <arrUserId title="Range2_99_1_23_2" rangeCreator="" othersAccessPermission="edit"/>
    <arrUserId title="Range2_99_1_13_2" rangeCreator="" othersAccessPermission="edit"/>
    <arrUserId title="Range2_99_1_1_4" rangeCreator="" othersAccessPermission="edit"/>
    <arrUserId title="Range2_99_1_8" rangeCreator="" othersAccessPermission="edit"/>
    <arrUserId title="Range2_99_17" rangeCreator="" othersAccessPermission="edit"/>
    <arrUserId title="Range2_99_10_3" rangeCreator="" othersAccessPermission="edit"/>
    <arrUserId title="Range2_38_1" rangeCreator="" othersAccessPermission="edit"/>
    <arrUserId title="Range2_99_1_21" rangeCreator="" othersAccessPermission="edit"/>
    <arrUserId title="Range2_2" rangeCreator="" othersAccessPermission="edit"/>
    <arrUserId title="Range2_99_10_1_1_1" rangeCreator="" othersAccessPermission="edit"/>
    <arrUserId title="Range2_99_1_11_1_1_1" rangeCreator="" othersAccessPermission="edit"/>
    <arrUserId title="Range2_99_18_1_1" rangeCreator="" othersAccessPermission="edit"/>
    <arrUserId title="Range2_99_1_2_2" rangeCreator="" othersAccessPermission="edit"/>
    <arrUserId title="Range2_99_1_3_3" rangeCreator="" othersAccessPermission="edit"/>
    <arrUserId title="Range2_99_14_2" rangeCreator="" othersAccessPermission="edit"/>
    <arrUserId title="Range2_99_1_23_3" rangeCreator="" othersAccessPermission="edit"/>
    <arrUserId title="Range2_99_1_4_1_1_1" rangeCreator="" othersAccessPermission="edit"/>
    <arrUserId title="Range2_99_1_6_2_1_1" rangeCreator="" othersAccessPermission="edit"/>
    <arrUserId title="Range2_99_1_8_1_1_1" rangeCreator="" othersAccessPermission="edit"/>
    <arrUserId title="Range2_99_1_9_1_1_1" rangeCreator="" othersAccessPermission="edit"/>
    <arrUserId title="Range2_99_8_1_1_1_1" rangeCreator="" othersAccessPermission="edit"/>
    <arrUserId title="Range2_99_1_10_1_1_1" rangeCreator="" othersAccessPermission="edit"/>
    <arrUserId title="Range2_99_5_1_1_1" rangeCreator="" othersAccessPermission="edit"/>
    <arrUserId title="Range2_99_6_2_1_1" rangeCreator="" othersAccessPermission="edit"/>
    <arrUserId title="Range2_99_10_2_1_1" rangeCreator="" othersAccessPermission="edit"/>
    <arrUserId title="Range2_99_1_14_1_1" rangeCreator="" othersAccessPermission="edit"/>
    <arrUserId title="Range2_99_1_16_1_1" rangeCreator="" othersAccessPermission="edit"/>
    <arrUserId title="Range2_99_22_1_1" rangeCreator="" othersAccessPermission="edit"/>
    <arrUserId title="Range2_99_22_1_1_3" rangeCreator="" othersAccessPermission="edit"/>
    <arrUserId title="Range2_99_23_1_1_1" rangeCreator="" othersAccessPermission="edit"/>
    <arrUserId title="Range2_99_23_1_1_2" rangeCreator="" othersAccessPermission="edit"/>
    <arrUserId title="Range2_99_23_1_1_4" rangeCreator="" othersAccessPermission="edit"/>
    <arrUserId title="Range2_99_24_1_1_1" rangeCreator="" othersAccessPermission="edit"/>
    <arrUserId title="Range2_99_24_1_1_2" rangeCreator="" othersAccessPermission="edit"/>
    <arrUserId title="Range2_99_22_1_3" rangeCreator="" othersAccessPermission="edit"/>
    <arrUserId title="Range2_99_1_15_1_1" rangeCreator="" othersAccessPermission="edit"/>
    <arrUserId title="Range2_99_1_10" rangeCreator="" othersAccessPermission="edit"/>
    <arrUserId title="Range2_99_1_2_3" rangeCreator="" othersAccessPermission="edit"/>
    <arrUserId title="Range2_99_1_4_3" rangeCreator="" othersAccessPermission="edit"/>
    <arrUserId title="Range2_99_1_2_5_1" rangeCreator="" othersAccessPermission="edit"/>
    <arrUserId title="Range2_53" rangeCreator="" othersAccessPermission="edit"/>
    <arrUserId title="Range2_99_2" rangeCreator="" othersAccessPermission="edit"/>
    <arrUserId title="Range2_99_2_1" rangeCreator="" othersAccessPermission="edit"/>
    <arrUserId title="Range2_99_4" rangeCreator="" othersAccessPermission="edit"/>
    <arrUserId title="Range2_99_5" rangeCreator="" othersAccessPermission="edit"/>
    <arrUserId title="Range2_99_6" rangeCreator="" othersAccessPermission="edit"/>
    <arrUserId title="Range2_99_7" rangeCreator="" othersAccessPermission="edit"/>
    <arrUserId title="Range2_99_3" rangeCreator="" othersAccessPermission="edit"/>
    <arrUserId title="Range2_99_9" rangeCreator="" othersAccessPermission="edit"/>
    <arrUserId title="Range2_99_10" rangeCreator="" othersAccessPermission="edit"/>
    <arrUserId title="Range2_99_11" rangeCreator="" othersAccessPermission="edit"/>
    <arrUserId title="Range2_99_12" rangeCreator="" othersAccessPermission="edit"/>
    <arrUserId title="Range2_99_2_2" rangeCreator="" othersAccessPermission="edit"/>
    <arrUserId title="Range2_99_1_11" rangeCreator="" othersAccessPermission="edit"/>
    <arrUserId title="Range2_99_1_18_1_3" rangeCreator="" othersAccessPermission="edit"/>
    <arrUserId title="Range2_99_1_19_1_3" rangeCreator="" othersAccessPermission="edit"/>
    <arrUserId title="Range2_99_2_1_1_3" rangeCreator="" othersAccessPermission="edit"/>
    <arrUserId title="Range2_99_1_1_1_1_1_3" rangeCreator="" othersAccessPermission="edit"/>
    <arrUserId title="Range2_99_4_2_1_3" rangeCreator="" othersAccessPermission="edit"/>
    <arrUserId title="Range2_99_12_1_3" rangeCreator="" othersAccessPermission="edit"/>
    <arrUserId title="Range2_99_1_20_3" rangeCreator="" othersAccessPermission="edit"/>
    <arrUserId title="Range2_99_3_2_3" rangeCreator="" othersAccessPermission="edit"/>
    <arrUserId title="Range2_99_9_1_3" rangeCreator="" othersAccessPermission="edit"/>
    <arrUserId title="Range2_3_2_3" rangeCreator="" othersAccessPermission="edit"/>
    <arrUserId title="Range2_99_1_2_4_1_3" rangeCreator="" othersAccessPermission="edit"/>
    <arrUserId title="Range2_99_1_2" rangeCreator="" othersAccessPermission="edit"/>
    <arrUserId title="Range2_99_1_13" rangeCreator="" othersAccessPermission="edit"/>
    <arrUserId title="Range2_99_25_1" rangeCreator="" othersAccessPermission="edit"/>
    <arrUserId title="Range2_99_1_2_1_1" rangeCreator="" othersAccessPermission="edit"/>
    <arrUserId title="Range2_99_22_1_6" rangeCreator="" othersAccessPermission="edit"/>
  </rangeList>
  <rangeList sheetStid="10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D817616E-3C13-4D21-8F88-283B0558E050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july</vt:lpstr>
      <vt:lpstr>STRUCTURE </vt:lpstr>
      <vt:lpstr>EST.PARI</vt:lpstr>
      <vt:lpstr>traded off posts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Madina W. Nakimuli</dc:creator>
  <cp:lastModifiedBy>Administrator</cp:lastModifiedBy>
  <cp:lastPrinted>2026-03-27T13:20:26Z</cp:lastPrinted>
  <dcterms:created xsi:type="dcterms:W3CDTF">2023-11-09T14:49:28Z</dcterms:created>
  <dcterms:modified xsi:type="dcterms:W3CDTF">2026-09-01T10:03:01Z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4D36C8547F714F1CB8F5BA7492CCAFEF_13</vt:lpwstr>
  </property>
  <property fmtid="{D5CDD505-2E9C-101B-9397-08002B2CF9AE}" pid="3" name="KSOProductBuildVer">
    <vt:lpwstr>1033-12.2.0.20782</vt:lpwstr>
  </property>
</Properties>
</file>